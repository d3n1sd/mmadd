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filterPrivacy="1" showInkAnnotation="0" codeName="ThisWorkbook" defaultThemeVersion="124226"/>
  <xr:revisionPtr revIDLastSave="0" documentId="13_ncr:1_{4841A70E-C634-4E19-BC34-7DCFE99F90FF}"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32811" yWindow="-103" windowWidth="33120" windowHeight="18000" tabRatio="684"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Stay'!$A$1:$S$69</definedName>
    <definedName name="_xlnm.Print_Area" localSheetId="2">'1. Staff costs'!$A$1:$U$53</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Stay'!$69:$1048576,' 2-3-6. Travel&amp;Costs of Stay'!#REF!</definedName>
    <definedName name="Z_D7932BCF_3472_4742_BE90_75070A4D3346_.wvu.Rows" localSheetId="2" hidden="1">'1. Staff costs'!$53:$1048576,'1.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9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8" i="39" l="1"/>
  <c r="E68" i="39"/>
  <c r="D68" i="39"/>
  <c r="R68" i="39" s="1"/>
  <c r="P68" i="39" s="1"/>
  <c r="N67" i="39"/>
  <c r="E67" i="39"/>
  <c r="D67" i="39"/>
  <c r="R67" i="39" s="1"/>
  <c r="P67" i="39" s="1"/>
  <c r="N66" i="39"/>
  <c r="E66" i="39"/>
  <c r="D66" i="39"/>
  <c r="R66" i="39" s="1"/>
  <c r="P66" i="39" s="1"/>
  <c r="N65" i="39"/>
  <c r="E65" i="39"/>
  <c r="D65" i="39"/>
  <c r="R65" i="39" s="1"/>
  <c r="P65" i="39" s="1"/>
  <c r="N64" i="39"/>
  <c r="E64" i="39"/>
  <c r="D64" i="39"/>
  <c r="R64" i="39" s="1"/>
  <c r="P64" i="39" s="1"/>
  <c r="O68" i="39" l="1"/>
  <c r="Q68" i="39" s="1"/>
  <c r="O67" i="39"/>
  <c r="Q67" i="39" s="1"/>
  <c r="O66" i="39"/>
  <c r="Q66" i="39" s="1"/>
  <c r="O65" i="39"/>
  <c r="Q65" i="39" s="1"/>
  <c r="O64" i="39"/>
  <c r="Q64" i="39" s="1"/>
  <c r="D16" i="71" l="1"/>
  <c r="C16" i="71"/>
  <c r="J16" i="71" s="1"/>
  <c r="I16" i="71" s="1"/>
  <c r="D15" i="71"/>
  <c r="C15" i="71"/>
  <c r="J15" i="71" s="1"/>
  <c r="I15" i="71" s="1"/>
  <c r="E17" i="70"/>
  <c r="D17" i="70"/>
  <c r="I17" i="70" s="1"/>
  <c r="H17" i="70" s="1"/>
  <c r="E16" i="70"/>
  <c r="D16" i="70"/>
  <c r="I16" i="70" s="1"/>
  <c r="H16" i="70" s="1"/>
  <c r="E15" i="70"/>
  <c r="D15" i="70"/>
  <c r="I15" i="70" s="1"/>
  <c r="H15" i="70" s="1"/>
  <c r="E16" i="26"/>
  <c r="D16" i="26"/>
  <c r="I16" i="26" s="1"/>
  <c r="H16" i="26" s="1"/>
  <c r="E15" i="26"/>
  <c r="D15" i="26"/>
  <c r="I15" i="26" s="1"/>
  <c r="H15" i="26" s="1"/>
  <c r="N63" i="39"/>
  <c r="E63" i="39"/>
  <c r="D63" i="39"/>
  <c r="N61" i="39"/>
  <c r="E61" i="39"/>
  <c r="D61" i="39"/>
  <c r="R61" i="39" s="1"/>
  <c r="P61" i="39" s="1"/>
  <c r="N59" i="39"/>
  <c r="E59" i="39"/>
  <c r="D59" i="39"/>
  <c r="N57" i="39"/>
  <c r="E57" i="39"/>
  <c r="D57" i="39"/>
  <c r="N55" i="39"/>
  <c r="E55" i="39"/>
  <c r="D55" i="39"/>
  <c r="N53" i="39"/>
  <c r="E53" i="39"/>
  <c r="D53" i="39"/>
  <c r="N51" i="39"/>
  <c r="E51" i="39"/>
  <c r="D51" i="39"/>
  <c r="N48" i="39"/>
  <c r="E48" i="39"/>
  <c r="D48" i="39"/>
  <c r="N46" i="39"/>
  <c r="E46" i="39"/>
  <c r="D46" i="39"/>
  <c r="N44" i="39"/>
  <c r="E44" i="39"/>
  <c r="D44" i="39"/>
  <c r="N42" i="39"/>
  <c r="E42" i="39"/>
  <c r="D42" i="39"/>
  <c r="N40" i="39"/>
  <c r="E40" i="39"/>
  <c r="D40" i="39"/>
  <c r="N38" i="39"/>
  <c r="E38" i="39"/>
  <c r="D38" i="39"/>
  <c r="N36" i="39"/>
  <c r="E36" i="39"/>
  <c r="D36" i="39"/>
  <c r="N34" i="39"/>
  <c r="E34" i="39"/>
  <c r="D34" i="39"/>
  <c r="N32" i="39"/>
  <c r="E32" i="39"/>
  <c r="D32" i="39"/>
  <c r="N30" i="39"/>
  <c r="E30" i="39"/>
  <c r="D30" i="39"/>
  <c r="N28" i="39"/>
  <c r="E28" i="39"/>
  <c r="D28" i="39"/>
  <c r="N26" i="39"/>
  <c r="E26" i="39"/>
  <c r="D26" i="39"/>
  <c r="N24" i="39"/>
  <c r="E24" i="39"/>
  <c r="D24" i="39"/>
  <c r="N22" i="39"/>
  <c r="E22" i="39"/>
  <c r="D22" i="39"/>
  <c r="N20" i="39"/>
  <c r="E20" i="39"/>
  <c r="D20" i="39"/>
  <c r="N18" i="39"/>
  <c r="E18" i="39"/>
  <c r="D18" i="39"/>
  <c r="N16" i="39"/>
  <c r="E16" i="39"/>
  <c r="D16" i="39"/>
  <c r="N62" i="39"/>
  <c r="E62" i="39"/>
  <c r="D62" i="39"/>
  <c r="N60" i="39"/>
  <c r="E60" i="39"/>
  <c r="D60" i="39"/>
  <c r="N58" i="39"/>
  <c r="E58" i="39"/>
  <c r="D58" i="39"/>
  <c r="N56" i="39"/>
  <c r="E56" i="39"/>
  <c r="D56" i="39"/>
  <c r="N54" i="39"/>
  <c r="E54" i="39"/>
  <c r="D54" i="39"/>
  <c r="N52" i="39"/>
  <c r="E52" i="39"/>
  <c r="D52" i="39"/>
  <c r="N50" i="39"/>
  <c r="E50" i="39"/>
  <c r="D50" i="39"/>
  <c r="N49" i="39"/>
  <c r="E49" i="39"/>
  <c r="D49" i="39"/>
  <c r="N47" i="39"/>
  <c r="E47" i="39"/>
  <c r="D47" i="39"/>
  <c r="N45" i="39"/>
  <c r="E45" i="39"/>
  <c r="D45" i="39"/>
  <c r="N43" i="39"/>
  <c r="E43" i="39"/>
  <c r="D43" i="39"/>
  <c r="N41" i="39"/>
  <c r="E41" i="39"/>
  <c r="D41" i="39"/>
  <c r="N39" i="39"/>
  <c r="E39" i="39"/>
  <c r="D39" i="39"/>
  <c r="N37" i="39"/>
  <c r="E37" i="39"/>
  <c r="D37" i="39"/>
  <c r="N35" i="39"/>
  <c r="E35" i="39"/>
  <c r="D35" i="39"/>
  <c r="N33" i="39"/>
  <c r="E33" i="39"/>
  <c r="D33" i="39"/>
  <c r="N31" i="39"/>
  <c r="E31" i="39"/>
  <c r="D31" i="39"/>
  <c r="N29" i="39"/>
  <c r="E29" i="39"/>
  <c r="D29" i="39"/>
  <c r="N27" i="39"/>
  <c r="E27" i="39"/>
  <c r="D27" i="39"/>
  <c r="N25" i="39"/>
  <c r="E25" i="39"/>
  <c r="D25" i="39"/>
  <c r="N23" i="39"/>
  <c r="E23" i="39"/>
  <c r="D23" i="39"/>
  <c r="N21" i="39"/>
  <c r="E21" i="39"/>
  <c r="D21" i="39"/>
  <c r="N19" i="39"/>
  <c r="E19" i="39"/>
  <c r="D19" i="39"/>
  <c r="N17" i="39"/>
  <c r="E17" i="39"/>
  <c r="D17" i="39"/>
  <c r="N15" i="39"/>
  <c r="E15" i="39"/>
  <c r="D15" i="39"/>
  <c r="E52" i="40"/>
  <c r="D52" i="40"/>
  <c r="E51" i="40"/>
  <c r="D51" i="40"/>
  <c r="T51" i="40" s="1"/>
  <c r="E50" i="40"/>
  <c r="D50" i="40"/>
  <c r="E49" i="40"/>
  <c r="D49" i="40"/>
  <c r="E48" i="40"/>
  <c r="D48" i="40"/>
  <c r="E47" i="40"/>
  <c r="D47" i="40"/>
  <c r="E46" i="40"/>
  <c r="D46" i="40"/>
  <c r="E45" i="40"/>
  <c r="D45" i="40"/>
  <c r="T45" i="40" s="1"/>
  <c r="E44" i="40"/>
  <c r="D44" i="40"/>
  <c r="E43" i="40"/>
  <c r="D43" i="40"/>
  <c r="T43" i="40" s="1"/>
  <c r="E42" i="40"/>
  <c r="D42" i="40"/>
  <c r="E41" i="40"/>
  <c r="D41" i="40"/>
  <c r="E40" i="40"/>
  <c r="D40" i="40"/>
  <c r="T40" i="40" s="1"/>
  <c r="E39" i="40"/>
  <c r="D39" i="40"/>
  <c r="E38" i="40"/>
  <c r="D38" i="40"/>
  <c r="E37" i="40"/>
  <c r="D37" i="40"/>
  <c r="E36" i="40"/>
  <c r="D36" i="40"/>
  <c r="E35" i="40"/>
  <c r="D35" i="40"/>
  <c r="E34" i="40"/>
  <c r="D34" i="40"/>
  <c r="E33" i="40"/>
  <c r="D33" i="40"/>
  <c r="E32" i="40"/>
  <c r="D32" i="40"/>
  <c r="E31" i="40"/>
  <c r="D31" i="40"/>
  <c r="E30" i="40"/>
  <c r="D30" i="40"/>
  <c r="E29" i="40"/>
  <c r="D29" i="40"/>
  <c r="E27" i="40"/>
  <c r="D27" i="40"/>
  <c r="E26" i="40"/>
  <c r="D26" i="40"/>
  <c r="D28" i="40"/>
  <c r="D25" i="40"/>
  <c r="D24" i="40"/>
  <c r="D23" i="40"/>
  <c r="D22" i="40"/>
  <c r="D21" i="40"/>
  <c r="D20" i="40"/>
  <c r="D19" i="40"/>
  <c r="D18" i="40"/>
  <c r="D17" i="40"/>
  <c r="D16" i="40"/>
  <c r="D15" i="40"/>
  <c r="R53" i="39" l="1"/>
  <c r="P53" i="39" s="1"/>
  <c r="R63" i="39"/>
  <c r="P63" i="39" s="1"/>
  <c r="R55" i="39"/>
  <c r="P55" i="39" s="1"/>
  <c r="R59" i="39"/>
  <c r="P59" i="39" s="1"/>
  <c r="O61" i="39"/>
  <c r="Q61" i="39" s="1"/>
  <c r="R48" i="39"/>
  <c r="P48" i="39" s="1"/>
  <c r="R57" i="39"/>
  <c r="P57" i="39" s="1"/>
  <c r="R46" i="39"/>
  <c r="P46" i="39" s="1"/>
  <c r="R42" i="39"/>
  <c r="P42" i="39" s="1"/>
  <c r="O53" i="39"/>
  <c r="Q53" i="39" s="1"/>
  <c r="R51" i="39"/>
  <c r="P51" i="39" s="1"/>
  <c r="R38" i="39"/>
  <c r="P38" i="39" s="1"/>
  <c r="R44" i="39"/>
  <c r="P44" i="39" s="1"/>
  <c r="R34" i="39"/>
  <c r="P34" i="39" s="1"/>
  <c r="R40" i="39"/>
  <c r="P40" i="39" s="1"/>
  <c r="R32" i="39"/>
  <c r="P32" i="39" s="1"/>
  <c r="R30" i="39"/>
  <c r="P30" i="39" s="1"/>
  <c r="R36" i="39"/>
  <c r="P36" i="39" s="1"/>
  <c r="R28" i="39"/>
  <c r="P28" i="39" s="1"/>
  <c r="R22" i="39"/>
  <c r="P22" i="39" s="1"/>
  <c r="R20" i="39"/>
  <c r="P20" i="39" s="1"/>
  <c r="R18" i="39"/>
  <c r="P18" i="39" s="1"/>
  <c r="R26" i="39"/>
  <c r="P26" i="39" s="1"/>
  <c r="R16" i="39"/>
  <c r="P16" i="39" s="1"/>
  <c r="R24" i="39"/>
  <c r="P24" i="39" s="1"/>
  <c r="R62" i="39"/>
  <c r="P62" i="39" s="1"/>
  <c r="R60" i="39"/>
  <c r="P60" i="39" s="1"/>
  <c r="R56" i="39"/>
  <c r="P56" i="39" s="1"/>
  <c r="R52" i="39"/>
  <c r="P52" i="39" s="1"/>
  <c r="R58" i="39"/>
  <c r="P58" i="39" s="1"/>
  <c r="R54" i="39"/>
  <c r="P54" i="39" s="1"/>
  <c r="R47" i="39"/>
  <c r="P47" i="39" s="1"/>
  <c r="R45" i="39"/>
  <c r="P45" i="39" s="1"/>
  <c r="R50" i="39"/>
  <c r="P50" i="39" s="1"/>
  <c r="R43" i="39"/>
  <c r="P43" i="39" s="1"/>
  <c r="R49" i="39"/>
  <c r="P49" i="39" s="1"/>
  <c r="R41" i="39"/>
  <c r="P41" i="39" s="1"/>
  <c r="R39" i="39"/>
  <c r="P39" i="39" s="1"/>
  <c r="R37" i="39"/>
  <c r="P37" i="39" s="1"/>
  <c r="R35" i="39"/>
  <c r="P35" i="39" s="1"/>
  <c r="R33" i="39"/>
  <c r="P33" i="39" s="1"/>
  <c r="R29" i="39"/>
  <c r="P29" i="39" s="1"/>
  <c r="R27" i="39"/>
  <c r="P27" i="39" s="1"/>
  <c r="R23" i="39"/>
  <c r="P23" i="39" s="1"/>
  <c r="R25" i="39"/>
  <c r="P25" i="39" s="1"/>
  <c r="R31" i="39"/>
  <c r="P31" i="39" s="1"/>
  <c r="R19" i="39"/>
  <c r="P19" i="39" s="1"/>
  <c r="R15" i="39"/>
  <c r="P15" i="39" s="1"/>
  <c r="R21" i="39"/>
  <c r="P21" i="39" s="1"/>
  <c r="R17" i="39"/>
  <c r="P17" i="39" s="1"/>
  <c r="T52" i="40"/>
  <c r="P52" i="40" s="1"/>
  <c r="R51" i="40"/>
  <c r="J51" i="40"/>
  <c r="K51" i="40" s="1"/>
  <c r="M51" i="40"/>
  <c r="N51" i="40" s="1"/>
  <c r="G51" i="40"/>
  <c r="H51" i="40" s="1"/>
  <c r="P51" i="40"/>
  <c r="Q51" i="40" s="1"/>
  <c r="T50" i="40"/>
  <c r="T42" i="40"/>
  <c r="R42" i="40" s="1"/>
  <c r="T44" i="40"/>
  <c r="R44" i="40" s="1"/>
  <c r="T48" i="40"/>
  <c r="R48" i="40" s="1"/>
  <c r="T49" i="40"/>
  <c r="G49" i="40" s="1"/>
  <c r="T46" i="40"/>
  <c r="R46" i="40" s="1"/>
  <c r="T47" i="40"/>
  <c r="T41" i="40"/>
  <c r="R41" i="40" s="1"/>
  <c r="R45" i="40"/>
  <c r="T39" i="40"/>
  <c r="R39" i="40" s="1"/>
  <c r="T38" i="40"/>
  <c r="R38" i="40" s="1"/>
  <c r="R43" i="40"/>
  <c r="T37" i="40"/>
  <c r="R37" i="40" s="1"/>
  <c r="T36" i="40"/>
  <c r="R36" i="40" s="1"/>
  <c r="T35" i="40"/>
  <c r="R35" i="40" s="1"/>
  <c r="R40" i="40"/>
  <c r="T34" i="40"/>
  <c r="R34" i="40" s="1"/>
  <c r="T33" i="40"/>
  <c r="R33" i="40" s="1"/>
  <c r="T32" i="40"/>
  <c r="R32" i="40" s="1"/>
  <c r="T31" i="40"/>
  <c r="R31" i="40" s="1"/>
  <c r="T27" i="40"/>
  <c r="R27" i="40" s="1"/>
  <c r="T26" i="40"/>
  <c r="R26" i="40" s="1"/>
  <c r="T29" i="40"/>
  <c r="R29" i="40" s="1"/>
  <c r="N13" i="39"/>
  <c r="N14" i="39"/>
  <c r="O63" i="39" l="1"/>
  <c r="Q63" i="39" s="1"/>
  <c r="O55" i="39"/>
  <c r="Q55" i="39" s="1"/>
  <c r="O57" i="39"/>
  <c r="Q57" i="39" s="1"/>
  <c r="O59" i="39"/>
  <c r="Q59" i="39" s="1"/>
  <c r="O46" i="39"/>
  <c r="Q46" i="39" s="1"/>
  <c r="O42" i="39"/>
  <c r="Q42" i="39" s="1"/>
  <c r="O48" i="39"/>
  <c r="Q48" i="39" s="1"/>
  <c r="O34" i="39"/>
  <c r="Q34" i="39" s="1"/>
  <c r="O38" i="39"/>
  <c r="Q38" i="39" s="1"/>
  <c r="O32" i="39"/>
  <c r="Q32" i="39" s="1"/>
  <c r="O51" i="39"/>
  <c r="Q51" i="39" s="1"/>
  <c r="O44" i="39"/>
  <c r="Q44" i="39" s="1"/>
  <c r="O28" i="39"/>
  <c r="Q28" i="39" s="1"/>
  <c r="O40" i="39"/>
  <c r="Q40" i="39" s="1"/>
  <c r="O22" i="39"/>
  <c r="Q22" i="39" s="1"/>
  <c r="O20" i="39"/>
  <c r="Q20" i="39" s="1"/>
  <c r="O18" i="39"/>
  <c r="Q18" i="39" s="1"/>
  <c r="O30" i="39"/>
  <c r="Q30" i="39" s="1"/>
  <c r="O36" i="39"/>
  <c r="Q36" i="39" s="1"/>
  <c r="O60" i="39"/>
  <c r="Q60" i="39" s="1"/>
  <c r="O62" i="39"/>
  <c r="Q62" i="39" s="1"/>
  <c r="O26" i="39"/>
  <c r="Q26" i="39" s="1"/>
  <c r="O24" i="39"/>
  <c r="Q24" i="39" s="1"/>
  <c r="O52" i="39"/>
  <c r="Q52" i="39" s="1"/>
  <c r="O16" i="39"/>
  <c r="Q16" i="39" s="1"/>
  <c r="O47" i="39"/>
  <c r="Q47" i="39" s="1"/>
  <c r="O45" i="39"/>
  <c r="Q45" i="39" s="1"/>
  <c r="O56" i="39"/>
  <c r="Q56" i="39" s="1"/>
  <c r="O43" i="39"/>
  <c r="Q43" i="39" s="1"/>
  <c r="O58" i="39"/>
  <c r="Q58" i="39" s="1"/>
  <c r="O54" i="39"/>
  <c r="Q54" i="39" s="1"/>
  <c r="O50" i="39"/>
  <c r="Q50" i="39" s="1"/>
  <c r="O39" i="39"/>
  <c r="Q39" i="39" s="1"/>
  <c r="O37" i="39"/>
  <c r="Q37" i="39" s="1"/>
  <c r="O33" i="39"/>
  <c r="Q33" i="39" s="1"/>
  <c r="O49" i="39"/>
  <c r="Q49" i="39" s="1"/>
  <c r="O41" i="39"/>
  <c r="Q41" i="39" s="1"/>
  <c r="O35" i="39"/>
  <c r="Q35" i="39" s="1"/>
  <c r="O23" i="39"/>
  <c r="Q23" i="39" s="1"/>
  <c r="O29" i="39"/>
  <c r="Q29" i="39" s="1"/>
  <c r="O27" i="39"/>
  <c r="Q27" i="39" s="1"/>
  <c r="O19" i="39"/>
  <c r="Q19" i="39" s="1"/>
  <c r="O25" i="39"/>
  <c r="Q25" i="39" s="1"/>
  <c r="O31" i="39"/>
  <c r="Q31" i="39" s="1"/>
  <c r="O15" i="39"/>
  <c r="Q15" i="39" s="1"/>
  <c r="O21" i="39"/>
  <c r="Q21" i="39" s="1"/>
  <c r="O17" i="39"/>
  <c r="Q17" i="39" s="1"/>
  <c r="S51" i="40"/>
  <c r="M52" i="40"/>
  <c r="N52" i="40" s="1"/>
  <c r="Q52" i="40"/>
  <c r="R52" i="40"/>
  <c r="J52" i="40"/>
  <c r="K52" i="40" s="1"/>
  <c r="G52" i="40"/>
  <c r="H52" i="40" s="1"/>
  <c r="J49" i="40"/>
  <c r="R50" i="40"/>
  <c r="G50" i="40"/>
  <c r="H50" i="40" s="1"/>
  <c r="M50" i="40"/>
  <c r="N50" i="40" s="1"/>
  <c r="R49" i="40"/>
  <c r="J50" i="40"/>
  <c r="K50" i="40" s="1"/>
  <c r="P50" i="40"/>
  <c r="Q50" i="40" s="1"/>
  <c r="H49" i="40"/>
  <c r="K49" i="40"/>
  <c r="M49" i="40"/>
  <c r="N49" i="40" s="1"/>
  <c r="P49" i="40"/>
  <c r="Q49" i="40" s="1"/>
  <c r="R47" i="40"/>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2" i="41"/>
  <c r="G33" i="41"/>
  <c r="G35" i="41"/>
  <c r="G36" i="41"/>
  <c r="G38" i="41"/>
  <c r="G39"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40" i="41" l="1"/>
  <c r="G34" i="41"/>
  <c r="G31" i="41"/>
  <c r="G37" i="41"/>
  <c r="S52" i="40"/>
  <c r="S49" i="40"/>
  <c r="S50" i="40"/>
  <c r="E21" i="41"/>
  <c r="E20" i="41"/>
  <c r="E17" i="41"/>
  <c r="B6" i="55" l="1"/>
  <c r="H6" i="55" s="1"/>
  <c r="B7" i="55"/>
  <c r="H7" i="55" s="1"/>
  <c r="B8" i="55"/>
  <c r="H8" i="55" s="1"/>
  <c r="B9" i="55"/>
  <c r="H9" i="55" s="1"/>
  <c r="B5" i="55"/>
  <c r="G21" i="55"/>
  <c r="F21" i="55"/>
  <c r="E21" i="55"/>
  <c r="D21" i="55"/>
  <c r="C21" i="55"/>
  <c r="O11" i="40" l="1"/>
  <c r="L11" i="40"/>
  <c r="I11" i="40"/>
  <c r="F11" i="40"/>
  <c r="J47" i="40" l="1"/>
  <c r="K47" i="40" s="1"/>
  <c r="J48" i="40"/>
  <c r="K48" i="40" s="1"/>
  <c r="M47" i="40"/>
  <c r="N47" i="40" s="1"/>
  <c r="M48" i="40"/>
  <c r="N48" i="40" s="1"/>
  <c r="G47" i="40"/>
  <c r="H47" i="40" s="1"/>
  <c r="G48" i="40"/>
  <c r="H48" i="40" s="1"/>
  <c r="P47" i="40"/>
  <c r="Q47" i="40" s="1"/>
  <c r="P48" i="40"/>
  <c r="Q48" i="40" s="1"/>
  <c r="S47" i="40"/>
  <c r="G45" i="40"/>
  <c r="H45" i="40" s="1"/>
  <c r="G46" i="40"/>
  <c r="H46" i="40" s="1"/>
  <c r="M45" i="40"/>
  <c r="N45" i="40" s="1"/>
  <c r="M46" i="40"/>
  <c r="N46" i="40" s="1"/>
  <c r="J45" i="40"/>
  <c r="K45" i="40" s="1"/>
  <c r="J46" i="40"/>
  <c r="K46" i="40" s="1"/>
  <c r="P45" i="40"/>
  <c r="Q45" i="40" s="1"/>
  <c r="P46" i="40"/>
  <c r="Q46" i="40" s="1"/>
  <c r="J44" i="40"/>
  <c r="K44" i="40" s="1"/>
  <c r="M44" i="40"/>
  <c r="N44" i="40" s="1"/>
  <c r="G44" i="40"/>
  <c r="H44" i="40" s="1"/>
  <c r="P44" i="40"/>
  <c r="Q44" i="40" s="1"/>
  <c r="J43" i="40"/>
  <c r="K43" i="40" s="1"/>
  <c r="M43" i="40"/>
  <c r="N43" i="40" s="1"/>
  <c r="G43" i="40"/>
  <c r="H43" i="40" s="1"/>
  <c r="P43" i="40"/>
  <c r="Q43" i="40" s="1"/>
  <c r="G42" i="40"/>
  <c r="H42" i="40" s="1"/>
  <c r="J42" i="40"/>
  <c r="K42" i="40" s="1"/>
  <c r="M42" i="40"/>
  <c r="N42" i="40" s="1"/>
  <c r="P42" i="40"/>
  <c r="Q42" i="40" s="1"/>
  <c r="M41" i="40"/>
  <c r="N41" i="40" s="1"/>
  <c r="G41" i="40"/>
  <c r="H41" i="40" s="1"/>
  <c r="J41" i="40"/>
  <c r="K41" i="40" s="1"/>
  <c r="P41" i="40"/>
  <c r="Q41" i="40" s="1"/>
  <c r="J40" i="40"/>
  <c r="K40" i="40" s="1"/>
  <c r="M40" i="40"/>
  <c r="N40" i="40" s="1"/>
  <c r="G40" i="40"/>
  <c r="H40" i="40" s="1"/>
  <c r="P40" i="40"/>
  <c r="Q40" i="40" s="1"/>
  <c r="J39" i="40"/>
  <c r="K39" i="40" s="1"/>
  <c r="M39" i="40"/>
  <c r="N39" i="40" s="1"/>
  <c r="G39" i="40"/>
  <c r="H39" i="40" s="1"/>
  <c r="P39" i="40"/>
  <c r="Q39" i="40" s="1"/>
  <c r="G38" i="40"/>
  <c r="H38" i="40" s="1"/>
  <c r="J38" i="40"/>
  <c r="K38" i="40" s="1"/>
  <c r="M38" i="40"/>
  <c r="N38" i="40" s="1"/>
  <c r="P38" i="40"/>
  <c r="Q38" i="40" s="1"/>
  <c r="G37" i="40"/>
  <c r="H37" i="40" s="1"/>
  <c r="J37" i="40"/>
  <c r="K37" i="40" s="1"/>
  <c r="M37" i="40"/>
  <c r="N37" i="40" s="1"/>
  <c r="P37" i="40"/>
  <c r="Q37" i="40" s="1"/>
  <c r="J36" i="40"/>
  <c r="K36" i="40" s="1"/>
  <c r="G36" i="40"/>
  <c r="H36" i="40" s="1"/>
  <c r="M36" i="40"/>
  <c r="N36" i="40" s="1"/>
  <c r="P36" i="40"/>
  <c r="Q36" i="40" s="1"/>
  <c r="G35" i="40"/>
  <c r="H35" i="40" s="1"/>
  <c r="J35" i="40"/>
  <c r="K35" i="40" s="1"/>
  <c r="M35" i="40"/>
  <c r="N35" i="40" s="1"/>
  <c r="P35" i="40"/>
  <c r="Q35" i="40" s="1"/>
  <c r="G34" i="40"/>
  <c r="H34" i="40" s="1"/>
  <c r="J34" i="40"/>
  <c r="K34" i="40" s="1"/>
  <c r="M34" i="40"/>
  <c r="N34" i="40" s="1"/>
  <c r="P34" i="40"/>
  <c r="Q34" i="40" s="1"/>
  <c r="G33" i="40"/>
  <c r="H33" i="40" s="1"/>
  <c r="J33" i="40"/>
  <c r="K33" i="40" s="1"/>
  <c r="M33" i="40"/>
  <c r="N33" i="40" s="1"/>
  <c r="P33" i="40"/>
  <c r="Q33" i="40" s="1"/>
  <c r="J32" i="40"/>
  <c r="K32" i="40" s="1"/>
  <c r="G32" i="40"/>
  <c r="H32" i="40" s="1"/>
  <c r="M32" i="40"/>
  <c r="N32" i="40" s="1"/>
  <c r="P32" i="40"/>
  <c r="Q32" i="40" s="1"/>
  <c r="J31" i="40"/>
  <c r="K31" i="40" s="1"/>
  <c r="M31" i="40"/>
  <c r="N31" i="40" s="1"/>
  <c r="G31" i="40"/>
  <c r="H31" i="40" s="1"/>
  <c r="P31" i="40"/>
  <c r="Q31" i="40" s="1"/>
  <c r="J29" i="40"/>
  <c r="K29" i="40" s="1"/>
  <c r="M29" i="40"/>
  <c r="N29" i="40" s="1"/>
  <c r="G29" i="40"/>
  <c r="H29" i="40" s="1"/>
  <c r="P29" i="40"/>
  <c r="Q29" i="40" s="1"/>
  <c r="M27" i="40"/>
  <c r="N27" i="40" s="1"/>
  <c r="G27" i="40"/>
  <c r="H27" i="40" s="1"/>
  <c r="J27" i="40"/>
  <c r="K27" i="40" s="1"/>
  <c r="P27" i="40"/>
  <c r="Q27" i="40" s="1"/>
  <c r="G26" i="40"/>
  <c r="H26" i="40" s="1"/>
  <c r="J26" i="40"/>
  <c r="K26" i="40" s="1"/>
  <c r="M26" i="40"/>
  <c r="N26" i="40" s="1"/>
  <c r="P26" i="40"/>
  <c r="Q26" i="40" s="1"/>
  <c r="G6" i="55"/>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17" i="40" s="1"/>
  <c r="T17" i="40" s="1"/>
  <c r="R17" i="40" s="1"/>
  <c r="E31" i="41"/>
  <c r="E18" i="40" s="1"/>
  <c r="T18" i="40" s="1"/>
  <c r="R18" i="40" s="1"/>
  <c r="E32" i="41"/>
  <c r="E19" i="40" s="1"/>
  <c r="T19" i="40" s="1"/>
  <c r="R19" i="40" s="1"/>
  <c r="E33" i="41"/>
  <c r="E20" i="40" s="1"/>
  <c r="T20" i="40" s="1"/>
  <c r="R20" i="40" s="1"/>
  <c r="E34" i="41"/>
  <c r="E21" i="40" s="1"/>
  <c r="T21" i="40" s="1"/>
  <c r="R21" i="40" s="1"/>
  <c r="E35" i="41"/>
  <c r="E22" i="40" s="1"/>
  <c r="T22" i="40" s="1"/>
  <c r="R22" i="40" s="1"/>
  <c r="E36" i="41"/>
  <c r="E23" i="40" s="1"/>
  <c r="T23" i="40" s="1"/>
  <c r="R23" i="40" s="1"/>
  <c r="E37" i="41"/>
  <c r="E24" i="40" s="1"/>
  <c r="T24" i="40" s="1"/>
  <c r="R24" i="40" s="1"/>
  <c r="E38" i="41"/>
  <c r="E25" i="40" s="1"/>
  <c r="T25" i="40" s="1"/>
  <c r="R25" i="40" s="1"/>
  <c r="E39" i="41"/>
  <c r="E28" i="40" s="1"/>
  <c r="T28" i="40" s="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3" i="40"/>
  <c r="D14" i="40"/>
  <c r="D13" i="40"/>
  <c r="E12" i="41"/>
  <c r="E11" i="41"/>
  <c r="E23" i="41"/>
  <c r="G7" i="55"/>
  <c r="G9" i="55"/>
  <c r="F9" i="55"/>
  <c r="E13" i="41"/>
  <c r="F7" i="55"/>
  <c r="S48" i="40" l="1"/>
  <c r="S46" i="40"/>
  <c r="S45" i="40"/>
  <c r="S44" i="40"/>
  <c r="S43" i="40"/>
  <c r="S42" i="40"/>
  <c r="S41" i="40"/>
  <c r="S40" i="40"/>
  <c r="S39" i="40"/>
  <c r="S38" i="40"/>
  <c r="S37" i="40"/>
  <c r="S36" i="40"/>
  <c r="S35" i="40"/>
  <c r="S34" i="40"/>
  <c r="S33" i="40"/>
  <c r="S32" i="40"/>
  <c r="S29" i="40"/>
  <c r="F42" i="41" s="1"/>
  <c r="S31" i="40"/>
  <c r="S27" i="40"/>
  <c r="S26" i="40"/>
  <c r="M17" i="40"/>
  <c r="N17" i="40" s="1"/>
  <c r="J17" i="40"/>
  <c r="K17" i="40" s="1"/>
  <c r="M18" i="40"/>
  <c r="N18" i="40" s="1"/>
  <c r="J18" i="40"/>
  <c r="K18" i="40" s="1"/>
  <c r="P17" i="40"/>
  <c r="Q17" i="40" s="1"/>
  <c r="G17" i="40"/>
  <c r="H17" i="40" s="1"/>
  <c r="M20" i="40"/>
  <c r="N20" i="40" s="1"/>
  <c r="P23" i="40"/>
  <c r="Q23" i="40" s="1"/>
  <c r="G23" i="40"/>
  <c r="H23" i="40" s="1"/>
  <c r="J23" i="40"/>
  <c r="K23" i="40" s="1"/>
  <c r="P20" i="40"/>
  <c r="Q20" i="40" s="1"/>
  <c r="G20" i="40"/>
  <c r="H20" i="40" s="1"/>
  <c r="M23" i="40"/>
  <c r="N23" i="40" s="1"/>
  <c r="M24" i="40"/>
  <c r="N24" i="40" s="1"/>
  <c r="J24" i="40"/>
  <c r="K24" i="40" s="1"/>
  <c r="J20" i="40"/>
  <c r="K20" i="40" s="1"/>
  <c r="P21" i="40"/>
  <c r="Q21" i="40" s="1"/>
  <c r="J28" i="40"/>
  <c r="K28" i="40" s="1"/>
  <c r="R28" i="40"/>
  <c r="M28" i="40"/>
  <c r="N28" i="40" s="1"/>
  <c r="G28" i="40"/>
  <c r="H28" i="40" s="1"/>
  <c r="P28" i="40"/>
  <c r="Q28" i="40" s="1"/>
  <c r="P22" i="40"/>
  <c r="Q22" i="40" s="1"/>
  <c r="J22" i="40"/>
  <c r="K22" i="40" s="1"/>
  <c r="M22" i="40"/>
  <c r="N22" i="40" s="1"/>
  <c r="G21" i="40"/>
  <c r="H21" i="40" s="1"/>
  <c r="M21" i="40"/>
  <c r="N21" i="40" s="1"/>
  <c r="J21" i="40"/>
  <c r="K21" i="40" s="1"/>
  <c r="G22" i="40"/>
  <c r="H22" i="40" s="1"/>
  <c r="P18" i="40"/>
  <c r="Q18" i="40" s="1"/>
  <c r="P24" i="40"/>
  <c r="Q24" i="40" s="1"/>
  <c r="G18" i="40"/>
  <c r="H18" i="40" s="1"/>
  <c r="G24" i="40"/>
  <c r="H24" i="40" s="1"/>
  <c r="E15" i="40"/>
  <c r="T15" i="40" s="1"/>
  <c r="J15" i="40" s="1"/>
  <c r="K15" i="40" s="1"/>
  <c r="E16" i="40"/>
  <c r="T16" i="40" s="1"/>
  <c r="E14" i="40"/>
  <c r="T14" i="40" s="1"/>
  <c r="M14" i="40" s="1"/>
  <c r="N14" i="40" s="1"/>
  <c r="P19" i="40"/>
  <c r="Q19" i="40" s="1"/>
  <c r="P25" i="40"/>
  <c r="Q25" i="40" s="1"/>
  <c r="G19" i="40"/>
  <c r="H19" i="40" s="1"/>
  <c r="G25" i="40"/>
  <c r="H25" i="40" s="1"/>
  <c r="M19" i="40"/>
  <c r="N19" i="40" s="1"/>
  <c r="M25" i="40"/>
  <c r="N25" i="40" s="1"/>
  <c r="J19" i="40"/>
  <c r="K19" i="40" s="1"/>
  <c r="J25" i="40"/>
  <c r="K25" i="40" s="1"/>
  <c r="R13" i="39"/>
  <c r="P13" i="39" s="1"/>
  <c r="H16" i="55"/>
  <c r="J13" i="71"/>
  <c r="I13" i="71" s="1"/>
  <c r="I13" i="26"/>
  <c r="I13" i="70"/>
  <c r="F8" i="55"/>
  <c r="I14" i="26"/>
  <c r="H14" i="26" s="1"/>
  <c r="I14" i="70"/>
  <c r="H14" i="70" s="1"/>
  <c r="G5" i="55" s="1"/>
  <c r="G10" i="55" s="1"/>
  <c r="J14" i="71"/>
  <c r="T13" i="40"/>
  <c r="S20" i="40" l="1"/>
  <c r="S18" i="40"/>
  <c r="S23" i="40"/>
  <c r="F36" i="41" s="1"/>
  <c r="S17" i="40"/>
  <c r="F30" i="41" s="1"/>
  <c r="M15" i="40"/>
  <c r="N15" i="40" s="1"/>
  <c r="S24" i="40"/>
  <c r="F37" i="41" s="1"/>
  <c r="S21" i="40"/>
  <c r="F34" i="41" s="1"/>
  <c r="S25" i="40"/>
  <c r="F38" i="41" s="1"/>
  <c r="S19" i="40"/>
  <c r="F32" i="41" s="1"/>
  <c r="S22" i="40"/>
  <c r="F35" i="41" s="1"/>
  <c r="R16" i="40"/>
  <c r="J16" i="40"/>
  <c r="K16" i="40" s="1"/>
  <c r="G16" i="40"/>
  <c r="H16" i="40" s="1"/>
  <c r="M16" i="40"/>
  <c r="N16" i="40" s="1"/>
  <c r="P16" i="40"/>
  <c r="Q16" i="40" s="1"/>
  <c r="P15" i="40"/>
  <c r="Q15" i="40" s="1"/>
  <c r="R15" i="40"/>
  <c r="G15" i="40"/>
  <c r="H15" i="40" s="1"/>
  <c r="S28" i="40"/>
  <c r="J14" i="40"/>
  <c r="K14" i="40" s="1"/>
  <c r="R14" i="40"/>
  <c r="P14" i="40"/>
  <c r="Q14" i="40" s="1"/>
  <c r="G14" i="40"/>
  <c r="H14" i="40" s="1"/>
  <c r="O13" i="39"/>
  <c r="Q13" i="39" s="1"/>
  <c r="I20" i="41"/>
  <c r="I21" i="41"/>
  <c r="I23" i="41"/>
  <c r="I14" i="71"/>
  <c r="C4" i="71" s="1"/>
  <c r="C9" i="55"/>
  <c r="C8" i="55"/>
  <c r="F40" i="41"/>
  <c r="F33" i="41"/>
  <c r="H13" i="26"/>
  <c r="C4" i="26" s="1"/>
  <c r="B4" i="74"/>
  <c r="B6" i="74"/>
  <c r="H13" i="70"/>
  <c r="C4" i="70" s="1"/>
  <c r="J48" i="41" s="1"/>
  <c r="B5" i="74"/>
  <c r="F5" i="55"/>
  <c r="F6" i="55"/>
  <c r="R13" i="40"/>
  <c r="N13" i="40"/>
  <c r="H13" i="40"/>
  <c r="M13" i="40"/>
  <c r="G13" i="40"/>
  <c r="Q13" i="40"/>
  <c r="J13" i="40"/>
  <c r="K13" i="40"/>
  <c r="P13" i="40"/>
  <c r="S13" i="40"/>
  <c r="C7" i="55" s="1"/>
  <c r="F39" i="41" l="1"/>
  <c r="F41" i="41"/>
  <c r="F31" i="41"/>
  <c r="S15" i="40"/>
  <c r="F28" i="41" s="1"/>
  <c r="S16" i="40"/>
  <c r="F29" i="41" s="1"/>
  <c r="S14"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H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L42" i="41" l="1"/>
  <c r="C5" i="55"/>
  <c r="I7" i="55"/>
  <c r="L41" i="41"/>
  <c r="L40" i="41"/>
  <c r="L39" i="41"/>
  <c r="L38" i="41"/>
  <c r="L36" i="41"/>
  <c r="L37" i="41"/>
  <c r="L34" i="41"/>
  <c r="L35" i="41"/>
  <c r="L31" i="41"/>
  <c r="L33" i="41"/>
  <c r="L32" i="41"/>
  <c r="L30" i="41"/>
  <c r="L29" i="41"/>
  <c r="I9" i="55"/>
  <c r="I8" i="55"/>
  <c r="H32" i="55"/>
  <c r="H28" i="55"/>
  <c r="H24" i="55"/>
  <c r="H31" i="55"/>
  <c r="H27" i="55"/>
  <c r="H34" i="55"/>
  <c r="H30" i="55"/>
  <c r="H26" i="55"/>
  <c r="H33" i="55"/>
  <c r="H29"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E77" i="55"/>
  <c r="G77" i="55"/>
  <c r="F77" i="55"/>
  <c r="G17" i="55" l="1"/>
  <c r="F17" i="55"/>
  <c r="K27" i="41"/>
  <c r="H15" i="55" s="1"/>
  <c r="H17" i="55" s="1"/>
  <c r="D10" i="39"/>
  <c r="D22" i="41" s="1"/>
  <c r="H5" i="55"/>
  <c r="H10" i="55" s="1"/>
  <c r="R14" i="39"/>
  <c r="I19" i="41" l="1"/>
  <c r="F4" i="39"/>
  <c r="O14" i="39"/>
  <c r="D4" i="39" s="1"/>
  <c r="F6" i="39"/>
  <c r="B3" i="74"/>
  <c r="I18" i="41"/>
  <c r="P14" i="39"/>
  <c r="D5" i="39" s="1"/>
  <c r="I22" i="41"/>
  <c r="F8" i="39" l="1"/>
  <c r="E4" i="39"/>
  <c r="E6" i="55"/>
  <c r="H28" i="41"/>
  <c r="D6" i="55"/>
  <c r="G28" i="41"/>
  <c r="D23" i="55"/>
  <c r="H23" i="55" s="1"/>
  <c r="D9" i="39"/>
  <c r="D19" i="41" s="1"/>
  <c r="E5" i="55"/>
  <c r="E10" i="55" s="1"/>
  <c r="H27" i="41"/>
  <c r="D7" i="39"/>
  <c r="D5" i="55"/>
  <c r="C22" i="55"/>
  <c r="Q14" i="39"/>
  <c r="G27" i="41"/>
  <c r="D8" i="39"/>
  <c r="D6" i="39"/>
  <c r="L28" i="41" l="1"/>
  <c r="E6" i="39"/>
  <c r="D15" i="55"/>
  <c r="D16" i="55"/>
  <c r="E15" i="55"/>
  <c r="E16" i="55"/>
  <c r="C77" i="55"/>
  <c r="E8" i="39"/>
  <c r="D18" i="41"/>
  <c r="I5" i="55"/>
  <c r="D10" i="55"/>
  <c r="I16" i="55" l="1"/>
  <c r="E17" i="55"/>
  <c r="D17" i="55"/>
  <c r="T30" i="40"/>
  <c r="B2" i="74" l="1"/>
  <c r="I17" i="41"/>
  <c r="E7" i="40"/>
  <c r="E8" i="40"/>
  <c r="E6" i="40"/>
  <c r="E5" i="40"/>
  <c r="R30" i="40"/>
  <c r="P30" i="40"/>
  <c r="Q30" i="40" s="1"/>
  <c r="D8" i="40" s="1"/>
  <c r="M30" i="40"/>
  <c r="N30" i="40" s="1"/>
  <c r="D7" i="40" s="1"/>
  <c r="G30" i="40"/>
  <c r="H30" i="40" s="1"/>
  <c r="J30" i="40"/>
  <c r="K30" i="40" s="1"/>
  <c r="D6" i="40" s="1"/>
  <c r="E9" i="40" l="1"/>
  <c r="D5" i="40"/>
  <c r="D9" i="40" s="1"/>
  <c r="D17" i="41" s="1"/>
  <c r="D23" i="41" s="1"/>
  <c r="S30" i="40"/>
  <c r="C6" i="55" l="1"/>
  <c r="D22" i="55"/>
  <c r="F27" i="41"/>
  <c r="L27" i="41" l="1"/>
  <c r="C15" i="55"/>
  <c r="H22" i="55"/>
  <c r="D77" i="55"/>
  <c r="H77" i="55" s="1"/>
  <c r="C10" i="55"/>
  <c r="I10" i="55" s="1"/>
  <c r="I6" i="55"/>
  <c r="C17" i="55" l="1"/>
  <c r="I17" i="55" s="1"/>
  <c r="I15" i="55"/>
</calcChain>
</file>

<file path=xl/sharedStrings.xml><?xml version="1.0" encoding="utf-8"?>
<sst xmlns="http://schemas.openxmlformats.org/spreadsheetml/2006/main" count="1190" uniqueCount="399">
  <si>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</si>
  <si>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</si>
  <si>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</si>
  <si>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</si>
  <si>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</si>
  <si>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</si>
  <si>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</si>
  <si>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</si>
  <si>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</si>
  <si>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</si>
  <si>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</si>
  <si>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</si>
  <si>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</si>
  <si>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</si>
  <si>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</si>
  <si>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</si>
  <si>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</si>
  <si>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</si>
  <si>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</si>
  <si>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</si>
  <si>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</si>
  <si>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</si>
  <si>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</si>
  <si>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</si>
  <si>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</si>
  <si>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</si>
  <si>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</si>
  <si>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</si>
  <si>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</si>
  <si>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</si>
  <si>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</si>
  <si>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</si>
  <si>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</si>
  <si>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</si>
  <si>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</si>
  <si>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</si>
  <si>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</si>
  <si>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</si>
  <si>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</si>
  <si>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</si>
  <si>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</si>
  <si>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</si>
  <si>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</si>
  <si>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</si>
  <si>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</si>
  <si>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</si>
  <si>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</si>
  <si>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</si>
  <si>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</si>
  <si>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</si>
  <si>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</si>
  <si>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</si>
  <si>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</si>
  <si>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</si>
  <si>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</si>
  <si>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</si>
  <si>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</si>
  <si>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</si>
  <si>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</si>
  <si>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</si>
  <si>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</si>
  <si>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</si>
  <si>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</si>
  <si>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</si>
  <si>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</si>
  <si>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</si>
  <si>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</si>
  <si>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</si>
  <si>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</si>
  <si>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</si>
  <si>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</si>
  <si>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</si>
  <si>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</si>
  <si>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</si>
  <si>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</si>
  <si>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</si>
  <si>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</si>
  <si>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</si>
  <si>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</si>
  <si>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</si>
  <si>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</si>
  <si>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</si>
  <si>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</si>
  <si>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</si>
  <si>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</si>
  <si>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</si>
  <si>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</si>
  <si>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</si>
  <si>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</si>
  <si>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</si>
  <si>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</si>
  <si>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</si>
  <si>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</si>
  <si>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</si>
  <si>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</si>
  <si>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</si>
  <si>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</si>
  <si>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</si>
  <si>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</si>
  <si>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</si>
  <si>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</si>
  <si>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</si>
  <si>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</si>
  <si>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</si>
  <si>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</si>
  <si>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</si>
  <si>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</si>
  <si>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</si>
  <si>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</si>
  <si>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</si>
  <si>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</si>
  <si>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</si>
  <si>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</si>
  <si>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</si>
  <si>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</si>
  <si>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</si>
  <si>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</si>
  <si>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</si>
  <si>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</si>
  <si>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</si>
  <si>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</si>
  <si>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</si>
  <si>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</si>
  <si>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</si>
  <si>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</si>
  <si>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</si>
  <si>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</si>
  <si>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</si>
  <si>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</si>
  <si>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</si>
  <si>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</si>
  <si>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</si>
  <si>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</si>
  <si>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</si>
  <si>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</si>
  <si>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</si>
  <si>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</si>
  <si>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</si>
  <si>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</si>
  <si>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</si>
  <si>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</si>
  <si>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</si>
  <si>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</si>
  <si>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</si>
  <si>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</si>
  <si>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</si>
  <si>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</si>
  <si>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</si>
  <si>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</si>
  <si>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</si>
  <si>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</si>
  <si>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</si>
  <si>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</si>
  <si>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</si>
  <si>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</si>
  <si>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</si>
  <si>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</si>
  <si>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</si>
  <si>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</si>
  <si>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</si>
  <si>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</si>
  <si>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</si>
  <si>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</si>
  <si>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</si>
  <si>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</si>
  <si>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</si>
  <si>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</si>
  <si>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</si>
  <si>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</si>
  <si>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</si>
  <si>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</si>
  <si>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</si>
  <si>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</si>
  <si>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</si>
  <si>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</si>
  <si>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</si>
  <si>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</si>
  <si>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</si>
  <si>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</si>
  <si>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</si>
  <si>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</si>
  <si>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</si>
  <si>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</si>
  <si>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</si>
  <si>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</si>
  <si>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</si>
  <si>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</si>
  <si>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</si>
  <si>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</si>
  <si>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</si>
  <si>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</si>
  <si>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</si>
  <si>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</si>
  <si>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</si>
  <si>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</si>
  <si>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</si>
  <si>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</si>
  <si>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</si>
  <si>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</si>
  <si>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</si>
  <si>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</si>
  <si>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</si>
  <si>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</si>
  <si>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</si>
  <si>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</si>
  <si>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</si>
  <si>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</si>
  <si>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</si>
  <si>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</si>
  <si>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</si>
  <si>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</si>
  <si>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</si>
  <si>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</si>
  <si>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</si>
  <si>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</si>
  <si>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</si>
  <si>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</si>
  <si>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</si>
  <si>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</si>
  <si>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</si>
  <si>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</si>
  <si>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</si>
  <si>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</si>
  <si>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</si>
  <si>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</si>
  <si>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</si>
  <si>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</si>
  <si>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</si>
  <si>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</si>
  <si>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</si>
  <si>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</si>
  <si>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</si>
  <si>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</si>
  <si>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</si>
  <si>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</si>
  <si>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</si>
  <si>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</si>
  <si>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</si>
  <si>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</si>
  <si>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</si>
  <si>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</si>
  <si>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</si>
  <si>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</si>
  <si>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</si>
  <si>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</si>
  <si>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</si>
  <si>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</si>
  <si>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</si>
  <si>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</si>
  <si>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</si>
  <si>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</si>
  <si>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</si>
  <si>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</si>
  <si>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</si>
  <si>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</si>
  <si>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</si>
  <si>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</si>
  <si>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</si>
  <si>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</si>
  <si>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</si>
  <si>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</si>
  <si>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</si>
  <si>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</si>
  <si>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</si>
  <si>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</si>
  <si>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</si>
  <si>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</si>
  <si>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</si>
  <si>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</si>
  <si>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</si>
  <si>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</si>
  <si>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</si>
  <si>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</si>
  <si>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</si>
  <si>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</si>
  <si>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</si>
  <si>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</si>
  <si>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</si>
  <si>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</si>
  <si>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</si>
  <si>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</si>
  <si>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</si>
  <si>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</si>
  <si>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</si>
  <si>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</si>
  <si>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</si>
  <si>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</si>
  <si>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</si>
  <si>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</si>
  <si>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</si>
  <si>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</si>
  <si>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</si>
  <si>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</si>
  <si>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</si>
  <si>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</si>
  <si>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</si>
  <si>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</si>
  <si>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</si>
  <si>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</si>
  <si>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</si>
  <si>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</si>
  <si>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</si>
  <si>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</si>
  <si>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</si>
  <si>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</si>
  <si>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</si>
  <si>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</si>
  <si>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</si>
  <si>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</si>
  <si>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</si>
  <si>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</si>
  <si>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</si>
  <si>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</si>
  <si>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</si>
  <si>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</si>
  <si>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</si>
  <si>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</si>
  <si>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</si>
  <si>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</si>
  <si>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</si>
  <si>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</si>
  <si>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</si>
  <si>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</si>
  <si>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</si>
  <si>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</si>
  <si>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</si>
  <si>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</si>
  <si>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</si>
  <si>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</si>
  <si>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</si>
  <si>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</si>
  <si>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</si>
  <si>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</si>
  <si>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</si>
  <si>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</si>
  <si>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</si>
  <si>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</si>
  <si>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</si>
  <si>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</si>
  <si>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</si>
  <si>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</si>
  <si>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</si>
  <si>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</si>
  <si>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</si>
  <si>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</si>
  <si>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</si>
  <si>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</si>
  <si>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</si>
  <si>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</si>
  <si>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</si>
  <si>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</si>
  <si>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</si>
  <si>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</si>
  <si>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</si>
  <si>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</si>
  <si>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</si>
  <si>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</si>
  <si>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</si>
  <si>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</si>
  <si>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</si>
  <si>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Joint Project</t>
  </si>
  <si>
    <t>MMADD</t>
  </si>
  <si>
    <t>Mentored Mastery in AI, DevOps, Blockchain</t>
  </si>
  <si>
    <t xml:space="preserve">Univerzitet u Beogradu, Matematički fakultet </t>
  </si>
  <si>
    <t>MM</t>
  </si>
  <si>
    <t>Central European University (CEU)</t>
  </si>
  <si>
    <t>Station F</t>
  </si>
  <si>
    <t>Imec</t>
  </si>
  <si>
    <t>Fakultet elektrotehnike i računarstva (FER)</t>
  </si>
  <si>
    <t>ICT Hub Beograd</t>
  </si>
  <si>
    <t>University of Edinburgh</t>
  </si>
  <si>
    <t>Fakultet tehničkih nauka, Univerzitet u Novom Sadu</t>
  </si>
  <si>
    <t>International Burch University</t>
  </si>
  <si>
    <t>Sorbonne Univerzitet</t>
  </si>
  <si>
    <t>Univerzitet u Nišu, Elektronski fakultet</t>
  </si>
  <si>
    <t>IT University of Copenhagen</t>
  </si>
  <si>
    <t>Imperial College London</t>
  </si>
  <si>
    <t>Startit Centar</t>
  </si>
  <si>
    <t>The Alan Turing Institute</t>
  </si>
  <si>
    <t>Beograd</t>
  </si>
  <si>
    <t>London</t>
  </si>
  <si>
    <t>Zagreb</t>
  </si>
  <si>
    <t>Paris</t>
  </si>
  <si>
    <t>Leuven</t>
  </si>
  <si>
    <t>35 laptopova (AMD Renoir Ryzen 7 5600X 8C/8T, 1 TB M.2 PCIe x4 SSD, AMD Radeon Vega 8, 7 CUs, 1.7 GHz)</t>
  </si>
  <si>
    <t>Posebna tehnoloska potreba za olaksanje ucenja</t>
  </si>
  <si>
    <t>Oprema potrebna za mentorstvo</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</si>
  <si>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</si>
  <si>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</si>
  <si>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</si>
  <si>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</si>
  <si>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Potrebna sredstva za: pripremu materijala za seminar (3 dana x 10 sati x 50 osoba x 25 eura)</t>
  </si>
  <si>
    <t>Potrebna sredstva za: troškove putovanja i odsedanja za dodatno osoblje (3 dana x 25 osoba x 500 eura)</t>
  </si>
  <si>
    <t>Potrebna sredstva za implementaciju i razvoj softvera.</t>
  </si>
  <si>
    <t>DThe Banque de France</t>
  </si>
  <si>
    <t>HSBC Holdings</t>
  </si>
  <si>
    <t>DANSKE Bank</t>
  </si>
  <si>
    <t>Finansira troškove pripreme materijala za seminar</t>
  </si>
  <si>
    <t>Finansira troškove putovanja i odsedanja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</si>
</sst>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54">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6"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CCD749AA-2B07-4ECC-8AF1-BA55F3F387CA}"/>
    <cellStyle name="Percent" xfId="5" builtinId="5"/>
  </cellStyles>
  <dxfs count="1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87086</xdr:rowOff>
        </xdr:from>
        <xdr:to>
          <xdr:col>1</xdr:col>
          <xdr:colOff>1877786</xdr:colOff>
          <xdr:row>1</xdr:row>
          <xdr:rowOff>446314</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87086</xdr:rowOff>
        </xdr:from>
        <xdr:to>
          <xdr:col>3</xdr:col>
          <xdr:colOff>174171</xdr:colOff>
          <xdr:row>1</xdr:row>
          <xdr:rowOff>446314</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239486</xdr:colOff>
          <xdr:row>1</xdr:row>
          <xdr:rowOff>87086</xdr:rowOff>
        </xdr:from>
        <xdr:to>
          <xdr:col>3</xdr:col>
          <xdr:colOff>2041071</xdr:colOff>
          <xdr:row>1</xdr:row>
          <xdr:rowOff>446314</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2117271</xdr:colOff>
          <xdr:row>1</xdr:row>
          <xdr:rowOff>87086</xdr:rowOff>
        </xdr:from>
        <xdr:to>
          <xdr:col>4</xdr:col>
          <xdr:colOff>522514</xdr:colOff>
          <xdr:row>1</xdr:row>
          <xdr:rowOff>446314</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87086</xdr:rowOff>
        </xdr:from>
        <xdr:to>
          <xdr:col>1</xdr:col>
          <xdr:colOff>1877786</xdr:colOff>
          <xdr:row>1</xdr:row>
          <xdr:rowOff>446314</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87086</xdr:rowOff>
        </xdr:from>
        <xdr:to>
          <xdr:col>3</xdr:col>
          <xdr:colOff>174171</xdr:colOff>
          <xdr:row>1</xdr:row>
          <xdr:rowOff>446314</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239486</xdr:colOff>
          <xdr:row>1</xdr:row>
          <xdr:rowOff>87086</xdr:rowOff>
        </xdr:from>
        <xdr:to>
          <xdr:col>3</xdr:col>
          <xdr:colOff>2041071</xdr:colOff>
          <xdr:row>1</xdr:row>
          <xdr:rowOff>446314</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87086</xdr:rowOff>
        </xdr:from>
        <xdr:to>
          <xdr:col>1</xdr:col>
          <xdr:colOff>1877786</xdr:colOff>
          <xdr:row>1</xdr:row>
          <xdr:rowOff>446314</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87086</xdr:rowOff>
        </xdr:from>
        <xdr:to>
          <xdr:col>3</xdr:col>
          <xdr:colOff>174171</xdr:colOff>
          <xdr:row>1</xdr:row>
          <xdr:rowOff>446314</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239486</xdr:colOff>
          <xdr:row>1</xdr:row>
          <xdr:rowOff>87086</xdr:rowOff>
        </xdr:from>
        <xdr:to>
          <xdr:col>3</xdr:col>
          <xdr:colOff>2041071</xdr:colOff>
          <xdr:row>1</xdr:row>
          <xdr:rowOff>446314</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87086</xdr:rowOff>
        </xdr:from>
        <xdr:to>
          <xdr:col>1</xdr:col>
          <xdr:colOff>1877786</xdr:colOff>
          <xdr:row>1</xdr:row>
          <xdr:rowOff>446314</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87086</xdr:rowOff>
        </xdr:from>
        <xdr:to>
          <xdr:col>3</xdr:col>
          <xdr:colOff>174171</xdr:colOff>
          <xdr:row>1</xdr:row>
          <xdr:rowOff>446314</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239486</xdr:colOff>
          <xdr:row>1</xdr:row>
          <xdr:rowOff>87086</xdr:rowOff>
        </xdr:from>
        <xdr:to>
          <xdr:col>3</xdr:col>
          <xdr:colOff>2041071</xdr:colOff>
          <xdr:row>1</xdr:row>
          <xdr:rowOff>446314</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87086</xdr:rowOff>
        </xdr:from>
        <xdr:to>
          <xdr:col>1</xdr:col>
          <xdr:colOff>1877786</xdr:colOff>
          <xdr:row>1</xdr:row>
          <xdr:rowOff>446314</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27214</xdr:colOff>
          <xdr:row>1</xdr:row>
          <xdr:rowOff>87086</xdr:rowOff>
        </xdr:from>
        <xdr:to>
          <xdr:col>2</xdr:col>
          <xdr:colOff>1817914</xdr:colOff>
          <xdr:row>1</xdr:row>
          <xdr:rowOff>446314</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1888671</xdr:colOff>
          <xdr:row>1</xdr:row>
          <xdr:rowOff>87086</xdr:rowOff>
        </xdr:from>
        <xdr:to>
          <xdr:col>3</xdr:col>
          <xdr:colOff>304800</xdr:colOff>
          <xdr:row>1</xdr:row>
          <xdr:rowOff>446314</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9" zoomScale="110" zoomScaleNormal="110" zoomScaleSheetLayoutView="85" workbookViewId="0">
      <selection activeCell="D30" sqref="D30"/>
    </sheetView>
  </sheetViews>
  <sheetFormatPr defaultColWidth="9.15234375" defaultRowHeight="18" x14ac:dyDescent="0.45"/>
  <cols>
    <col min="1" max="1" width="1.69140625" style="1" customWidth="1"/>
    <col min="2" max="2" width="10" style="1" customWidth="1"/>
    <col min="3" max="3" width="50" style="2" customWidth="1"/>
    <col min="4" max="4" width="50.69140625" style="1" customWidth="1"/>
    <col min="5" max="5" width="23.69140625" style="1" customWidth="1"/>
    <col min="6" max="12" width="20.69140625" style="1" customWidth="1"/>
    <col min="13" max="13" width="1.69140625" style="1" customWidth="1"/>
    <col min="14" max="16384" width="9.15234375" style="1"/>
  </cols>
  <sheetData>
    <row r="1" spans="2:12" ht="10" customHeight="1" x14ac:dyDescent="0.45">
      <c r="G1" s="3"/>
      <c r="H1" s="3"/>
      <c r="I1" s="3"/>
      <c r="J1" s="3"/>
      <c r="K1" s="3"/>
      <c r="L1" s="3"/>
    </row>
    <row r="2" spans="2:12" x14ac:dyDescent="0.45">
      <c r="B2" s="4"/>
      <c r="C2" s="4"/>
      <c r="D2" s="4"/>
      <c r="E2" s="4"/>
      <c r="F2" s="4"/>
      <c r="G2" s="3"/>
      <c r="H2" s="3"/>
      <c r="I2" s="3"/>
      <c r="J2" s="3"/>
      <c r="K2" s="3"/>
      <c r="L2" s="3"/>
    </row>
    <row r="3" spans="2:12" x14ac:dyDescent="0.45">
      <c r="B3" s="4"/>
      <c r="C3" s="4"/>
      <c r="D3" s="5" t="s">
        <v>133</v>
      </c>
      <c r="E3" s="6"/>
      <c r="F3" s="4"/>
      <c r="G3" s="3"/>
      <c r="H3" s="3"/>
      <c r="I3" s="3"/>
      <c r="J3" s="3"/>
      <c r="K3" s="3"/>
      <c r="L3" s="3"/>
    </row>
    <row r="4" spans="2:12" ht="20.149999999999999" customHeight="1" x14ac:dyDescent="0.45">
      <c r="B4" s="4"/>
      <c r="C4" s="1"/>
      <c r="D4" s="5" t="s">
        <v>311</v>
      </c>
      <c r="E4" s="6"/>
      <c r="F4" s="6"/>
      <c r="G4" s="6"/>
      <c r="H4" s="6"/>
      <c r="I4" s="6"/>
      <c r="J4" s="6"/>
      <c r="K4" s="6"/>
      <c r="L4" s="6"/>
    </row>
    <row r="5" spans="2:12" ht="20.149999999999999" customHeight="1" x14ac:dyDescent="0.45">
      <c r="B5" s="4"/>
      <c r="C5" s="1"/>
      <c r="D5" s="6"/>
      <c r="E5" s="6"/>
      <c r="F5" s="6"/>
      <c r="G5" s="6"/>
      <c r="H5" s="6"/>
      <c r="I5" s="6"/>
      <c r="J5" s="6"/>
      <c r="K5" s="6"/>
      <c r="L5" s="6"/>
    </row>
    <row r="6" spans="2:12" ht="10" customHeight="1" x14ac:dyDescent="0.45">
      <c r="B6" s="7"/>
      <c r="C6" s="7"/>
      <c r="D6" s="4"/>
      <c r="E6" s="4"/>
      <c r="F6" s="4"/>
      <c r="G6" s="4"/>
      <c r="H6" s="4"/>
      <c r="I6" s="4"/>
      <c r="J6" s="4"/>
      <c r="K6" s="4"/>
    </row>
    <row r="7" spans="2:12" ht="25" customHeight="1" x14ac:dyDescent="0.45">
      <c r="B7" s="105" t="s">
        <v>355</v>
      </c>
      <c r="C7" s="105"/>
      <c r="D7" s="105"/>
      <c r="E7" s="105"/>
      <c r="F7" s="105"/>
      <c r="G7" s="105"/>
      <c r="H7" s="105"/>
      <c r="I7" s="105"/>
      <c r="J7" s="105"/>
      <c r="K7" s="105"/>
      <c r="L7" s="105"/>
    </row>
    <row r="8" spans="2:12" ht="25" customHeight="1" x14ac:dyDescent="0.45">
      <c r="B8" s="106" t="s">
        <v>356</v>
      </c>
      <c r="C8" s="106"/>
      <c r="D8" s="106"/>
      <c r="E8" s="106"/>
      <c r="F8" s="106"/>
      <c r="G8" s="106"/>
      <c r="H8" s="106"/>
      <c r="I8" s="106"/>
      <c r="J8" s="106"/>
      <c r="K8" s="106"/>
      <c r="L8" s="106"/>
    </row>
    <row r="9" spans="2:12" ht="25" customHeight="1" x14ac:dyDescent="0.45">
      <c r="B9" s="107" t="s">
        <v>130</v>
      </c>
      <c r="C9" s="107"/>
      <c r="D9" s="107"/>
      <c r="E9" s="107"/>
      <c r="F9" s="107"/>
      <c r="G9" s="107"/>
      <c r="H9" s="107"/>
      <c r="I9" s="107"/>
      <c r="J9" s="107"/>
      <c r="K9" s="107"/>
      <c r="L9" s="107"/>
    </row>
    <row r="10" spans="2:12" ht="20.149999999999999" customHeight="1" x14ac:dyDescent="0.45">
      <c r="B10" s="7"/>
      <c r="C10" s="7"/>
      <c r="D10" s="4"/>
      <c r="E10" s="4"/>
      <c r="F10" s="4"/>
      <c r="G10" s="4"/>
      <c r="H10" s="4"/>
      <c r="I10" s="4"/>
      <c r="J10" s="4"/>
      <c r="K10" s="4"/>
    </row>
    <row r="11" spans="2:12" ht="18" customHeight="1" x14ac:dyDescent="0.45">
      <c r="B11" s="99" t="s">
        <v>2</v>
      </c>
      <c r="C11" s="99"/>
      <c r="D11" s="8" t="s">
        <v>360</v>
      </c>
      <c r="E11" s="101" t="str">
        <f>IF(D11="","Please select Action Type",IF(OR(D11="Joint Project",D11="Structural Project"),"","Error Type of Action"))</f>
        <v/>
      </c>
      <c r="F11" s="101"/>
      <c r="G11" s="101"/>
      <c r="H11" s="101"/>
      <c r="I11" s="101"/>
      <c r="J11" s="101"/>
      <c r="K11" s="101"/>
      <c r="L11" s="101"/>
    </row>
    <row r="12" spans="2:12" ht="18" customHeight="1" x14ac:dyDescent="0.45">
      <c r="B12" s="99" t="s">
        <v>136</v>
      </c>
      <c r="C12" s="99"/>
      <c r="D12" s="8">
        <v>24</v>
      </c>
      <c r="E12" s="101" t="str">
        <f>IF(D12="","Please select duration",IF(OR(D12=24,D12=36),"","Error duration"))</f>
        <v/>
      </c>
      <c r="F12" s="101"/>
      <c r="G12" s="101"/>
      <c r="H12" s="101"/>
      <c r="I12" s="101"/>
      <c r="J12" s="101"/>
      <c r="K12" s="101"/>
      <c r="L12" s="101"/>
    </row>
    <row r="13" spans="2:12" ht="18" customHeight="1" x14ac:dyDescent="0.45">
      <c r="B13" s="99" t="s">
        <v>169</v>
      </c>
      <c r="C13" s="99"/>
      <c r="D13" s="8" t="s">
        <v>364</v>
      </c>
      <c r="E13" s="101" t="str">
        <f>IF(D13="","Please fill in Project Acronym","")</f>
        <v/>
      </c>
      <c r="F13" s="101"/>
      <c r="G13" s="101"/>
      <c r="H13" s="101"/>
      <c r="I13" s="101"/>
      <c r="J13" s="101"/>
      <c r="K13" s="101"/>
      <c r="L13" s="101"/>
    </row>
    <row r="14" spans="2:12" ht="18" customHeight="1" x14ac:dyDescent="0.45">
      <c r="B14" s="99" t="s">
        <v>170</v>
      </c>
      <c r="C14" s="99"/>
      <c r="D14" s="102" t="s">
        <v>362</v>
      </c>
      <c r="E14" s="103"/>
      <c r="F14" s="103"/>
      <c r="G14" s="103"/>
      <c r="H14" s="103"/>
      <c r="I14" s="103"/>
      <c r="J14" s="103"/>
      <c r="K14" s="103"/>
      <c r="L14" s="104"/>
    </row>
    <row r="15" spans="2:12" ht="20.149999999999999" customHeight="1" x14ac:dyDescent="0.45">
      <c r="B15" s="4"/>
      <c r="C15" s="4"/>
      <c r="D15" s="4"/>
      <c r="E15" s="4"/>
      <c r="F15" s="4"/>
      <c r="G15" s="4"/>
      <c r="H15" s="4"/>
      <c r="I15" s="4"/>
      <c r="J15" s="4"/>
      <c r="K15" s="4"/>
    </row>
    <row r="16" spans="2:12" ht="25" customHeight="1" x14ac:dyDescent="0.45">
      <c r="B16" s="100" t="s">
        <v>222</v>
      </c>
      <c r="C16" s="100"/>
      <c r="D16" s="100"/>
      <c r="E16" s="100"/>
      <c r="F16" s="100"/>
      <c r="G16" s="100"/>
      <c r="H16" s="100"/>
      <c r="I16" s="100"/>
      <c r="J16" s="100"/>
      <c r="K16" s="100"/>
      <c r="L16" s="100"/>
    </row>
    <row r="17" spans="2:12" x14ac:dyDescent="0.45">
      <c r="B17" s="99" t="s">
        <v>166</v>
      </c>
      <c r="C17" s="99"/>
      <c r="D17" s="9">
        <f>'1. Staff costs'!D9</f>
        <v>299600</v>
      </c>
      <c r="E17" s="108" t="str">
        <f>"Cannot exceed 40% of total Grant requested"</f>
        <v>Cannot exceed 40% of total Grant requested</v>
      </c>
      <c r="F17" s="109"/>
      <c r="G17" s="109"/>
      <c r="H17" s="109"/>
      <c r="I17" s="110" t="str">
        <f>IF(COUNTIF('1. Staff costs'!T:T,"Error")&lt;=1,"","Please check data in Tab '1. Staff Costs'")</f>
        <v/>
      </c>
      <c r="J17" s="110"/>
      <c r="K17" s="110"/>
      <c r="L17" s="111"/>
    </row>
    <row r="18" spans="2:12" x14ac:dyDescent="0.45">
      <c r="B18" s="99" t="s">
        <v>341</v>
      </c>
      <c r="C18" s="99"/>
      <c r="D18" s="9">
        <f>' 2-3-6. Travel&amp;Costs of Stay'!D8</f>
        <v>22500</v>
      </c>
      <c r="E18" s="108"/>
      <c r="F18" s="109"/>
      <c r="G18" s="109"/>
      <c r="H18" s="109"/>
      <c r="I18" s="110" t="str">
        <f>IF(COUNTIF(' 2-3-6. Travel&amp;Costs of Stay'!R:R,"Error")&lt;=1,"","Please check data in Tab '2-3-6. Travel&amp;Costs of Stay'")</f>
        <v/>
      </c>
      <c r="J18" s="110"/>
      <c r="K18" s="110"/>
      <c r="L18" s="111"/>
    </row>
    <row r="19" spans="2:12" x14ac:dyDescent="0.45">
      <c r="B19" s="99" t="s">
        <v>187</v>
      </c>
      <c r="C19" s="99"/>
      <c r="D19" s="9">
        <f>' 2-3-6. Travel&amp;Costs of Stay'!D9</f>
        <v>200750</v>
      </c>
      <c r="E19" s="118"/>
      <c r="F19" s="119"/>
      <c r="G19" s="119"/>
      <c r="H19" s="119"/>
      <c r="I19" s="110" t="str">
        <f>IF(COUNTIF(' 2-3-6. Travel&amp;Costs of Stay'!R:R,"Error")&lt;=1,"","Please check data in Tab '2-3-6. Travel&amp;Costs of Stay'")</f>
        <v/>
      </c>
      <c r="J19" s="110"/>
      <c r="K19" s="110"/>
      <c r="L19" s="111"/>
    </row>
    <row r="20" spans="2:12" x14ac:dyDescent="0.45">
      <c r="B20" s="99" t="s">
        <v>185</v>
      </c>
      <c r="C20" s="99"/>
      <c r="D20" s="9">
        <f>'4. Equipment Costs'!C4</f>
        <v>220000</v>
      </c>
      <c r="E20" s="108" t="str">
        <f>"Cannot exceed 30% of Total Grant requested"</f>
        <v>Cannot exceed 30% of Total Grant requested</v>
      </c>
      <c r="F20" s="109"/>
      <c r="G20" s="109"/>
      <c r="H20" s="109"/>
      <c r="I20" s="110" t="str">
        <f>IF(COUNTIF('4. Equipment Costs'!I:I,"Error")&lt;=1,"","Please check data in Tab '4. Equipment Costs''")</f>
        <v/>
      </c>
      <c r="J20" s="110"/>
      <c r="K20" s="110"/>
      <c r="L20" s="111"/>
    </row>
    <row r="21" spans="2:12" x14ac:dyDescent="0.45">
      <c r="B21" s="99" t="s">
        <v>186</v>
      </c>
      <c r="C21" s="99"/>
      <c r="D21" s="9">
        <f>'5. Subcontracting Costs'!C4</f>
        <v>63000</v>
      </c>
      <c r="E21" s="108" t="str">
        <f>"Cannot exceed 10% of Total Grant requested"</f>
        <v>Cannot exceed 10% of Total Grant requested</v>
      </c>
      <c r="F21" s="109"/>
      <c r="G21" s="109"/>
      <c r="H21" s="109"/>
      <c r="I21" s="110" t="str">
        <f>IF(COUNTIF('5. Subcontracting Costs'!I:I,"Error")&lt;=1,"","Please check data in Tab '5. Subcontracting Costs'")</f>
        <v/>
      </c>
      <c r="J21" s="110"/>
      <c r="K21" s="110"/>
      <c r="L21" s="111"/>
    </row>
    <row r="22" spans="2:12" x14ac:dyDescent="0.45">
      <c r="B22" s="99" t="s">
        <v>340</v>
      </c>
      <c r="C22" s="99"/>
      <c r="D22" s="9">
        <f>IF(OR(C27="",D27=""),0,' 2-3-6. Travel&amp;Costs of Stay'!D10)</f>
        <v>120000</v>
      </c>
      <c r="E22" s="108"/>
      <c r="F22" s="109"/>
      <c r="G22" s="109"/>
      <c r="H22" s="109"/>
      <c r="I22" s="110" t="str">
        <f>IF(COUNTIF(' 2-3-6. Travel&amp;Costs of Stay'!R:R,"Error")&lt;=1,"","Please check data in Tab '2-3-6. Travel&amp;Costs of Stay'")</f>
        <v/>
      </c>
      <c r="J22" s="110"/>
      <c r="K22" s="110"/>
      <c r="L22" s="111"/>
    </row>
    <row r="23" spans="2:12" ht="25" customHeight="1" x14ac:dyDescent="0.45">
      <c r="B23" s="112" t="s">
        <v>332</v>
      </c>
      <c r="C23" s="113"/>
      <c r="D23" s="10">
        <f>SUM(D17:D22)</f>
        <v>925850</v>
      </c>
      <c r="E23" s="114" t="str">
        <f>"Should be equal or above EUR 500.000,00 and cannot exceed EUR 1.000.000,00"</f>
        <v>Should be equal or above EUR 500.000,00 and cannot exceed EUR 1.000.000,00</v>
      </c>
      <c r="F23" s="115"/>
      <c r="G23" s="115"/>
      <c r="H23" s="115"/>
      <c r="I23" s="116" t="str">
        <f>IF(OR(COUNTIF('Co-financing'!J:J,"Error")&lt;=1,AND('Co-financing'!B14="",'Co-financing'!E14="",'Co-financing'!F14="",'Co-financing'!G14="",'Co-financing'!H14=0)),"","Please check data in Tab 'Co-financing'")</f>
        <v/>
      </c>
      <c r="J23" s="116"/>
      <c r="K23" s="116"/>
      <c r="L23" s="117"/>
    </row>
    <row r="24" spans="2:12" ht="20.149999999999999" customHeight="1" x14ac:dyDescent="0.45">
      <c r="B24" s="4"/>
      <c r="C24" s="4"/>
      <c r="D24" s="4"/>
      <c r="E24" s="4"/>
      <c r="F24" s="4"/>
      <c r="G24" s="4"/>
      <c r="H24" s="4"/>
      <c r="I24" s="4"/>
      <c r="J24" s="4"/>
      <c r="K24" s="4"/>
    </row>
    <row r="25" spans="2:12" ht="25" customHeight="1" x14ac:dyDescent="0.45">
      <c r="B25" s="100" t="s">
        <v>179</v>
      </c>
      <c r="C25" s="100"/>
      <c r="D25" s="100"/>
      <c r="E25" s="100"/>
      <c r="F25" s="100"/>
      <c r="G25" s="100"/>
      <c r="H25" s="100"/>
      <c r="I25" s="100"/>
      <c r="J25" s="100"/>
      <c r="K25" s="100"/>
      <c r="L25" s="100"/>
    </row>
    <row r="26" spans="2:12" ht="36" x14ac:dyDescent="0.45">
      <c r="B26" s="46" t="s">
        <v>147</v>
      </c>
      <c r="C26" s="11" t="s">
        <v>148</v>
      </c>
      <c r="D26" s="11" t="s">
        <v>0</v>
      </c>
      <c r="E26" s="12" t="s">
        <v>176</v>
      </c>
      <c r="F26" s="12" t="s">
        <v>191</v>
      </c>
      <c r="G26" s="12" t="s">
        <v>192</v>
      </c>
      <c r="H26" s="12" t="s">
        <v>193</v>
      </c>
      <c r="I26" s="12" t="s">
        <v>194</v>
      </c>
      <c r="J26" s="12" t="s">
        <v>195</v>
      </c>
      <c r="K26" s="12" t="s">
        <v>340</v>
      </c>
      <c r="L26" s="13" t="s">
        <v>308</v>
      </c>
    </row>
    <row r="27" spans="2:12" x14ac:dyDescent="0.45">
      <c r="B27" s="44" t="s">
        <v>8</v>
      </c>
      <c r="C27" s="18" t="s">
        <v>361</v>
      </c>
      <c r="D27" s="14" t="s">
        <v>98</v>
      </c>
      <c r="E27" s="15" t="str">
        <f t="shared" ref="E27:E81" si="0">IFERROR(IF(D27&lt;&gt;"",VLOOKUP(D27,CountryType,2,FALSE),""),"Country not found")</f>
        <v>Programme Countries</v>
      </c>
      <c r="F27" s="16">
        <f>SUMIF('1. Staff costs'!C:C,B27,'1. Staff costs'!S:S)</f>
        <v>16610</v>
      </c>
      <c r="G27" s="16">
        <f>SUMIF(' 2-3-6. Travel&amp;Costs of Stay'!C:C,B27,' 2-3-6. Travel&amp;Costs of Stay'!O:O)</f>
        <v>0</v>
      </c>
      <c r="H27" s="16">
        <f>SUMIF(' 2-3-6. Travel&amp;Costs of Stay'!C:C,B27,' 2-3-6. Travel&amp;Costs of Stay'!P:P)</f>
        <v>720</v>
      </c>
      <c r="I27" s="16">
        <f>SUMIF('4. Equipment Costs'!C:C,B27,'4. Equipment Costs'!H:H)</f>
        <v>0</v>
      </c>
      <c r="J27" s="16">
        <f>SUMIF('5. Subcontracting Costs'!C:C,B27,'5. Subcontracting Costs'!H:H)</f>
        <v>18000</v>
      </c>
      <c r="K27" s="16">
        <f>SUMIF(' 2-3-6. Travel&amp;Costs of Stay'!C:C,B27,' 2-3-6. Travel&amp;Costs of Stay'!N:N)</f>
        <v>2400</v>
      </c>
      <c r="L27" s="17">
        <f>IF(OR(C27="",D27=""),0,SUM(F27:K27))</f>
        <v>37730</v>
      </c>
    </row>
    <row r="28" spans="2:12" x14ac:dyDescent="0.45">
      <c r="B28" s="44" t="s">
        <v>9</v>
      </c>
      <c r="C28" s="18" t="s">
        <v>363</v>
      </c>
      <c r="D28" s="14" t="s">
        <v>98</v>
      </c>
      <c r="E28" s="15" t="str">
        <f>IFERROR(IF(D28&lt;&gt;"",VLOOKUP(D28,CountryType,2,FALSE),""),"Country not found")</f>
        <v>Programme Countries</v>
      </c>
      <c r="F28" s="16">
        <f>SUMIF('1. Staff costs'!C:C,B28,'1. Staff costs'!S:S)</f>
        <v>3934</v>
      </c>
      <c r="G28" s="16">
        <f>SUMIF(' 2-3-6. Travel&amp;Costs of Stay'!C:C,B28,' 2-3-6. Travel&amp;Costs of Stay'!O:O)</f>
        <v>0</v>
      </c>
      <c r="H28" s="16">
        <f>SUMIF(' 2-3-6. Travel&amp;Costs of Stay'!C:C,B28,' 2-3-6. Travel&amp;Costs of Stay'!P:P)</f>
        <v>6900</v>
      </c>
      <c r="I28" s="16">
        <f>SUMIF('4. Equipment Costs'!C:C,B28,'4. Equipment Costs'!H:H)</f>
        <v>0</v>
      </c>
      <c r="J28" s="16">
        <f>SUMIF('5. Subcontracting Costs'!C:C,B28,'5. Subcontracting Costs'!H:H)</f>
        <v>0</v>
      </c>
      <c r="K28" s="16">
        <f>SUMIF(' 2-3-6. Travel&amp;Costs of Stay'!C:C,B28,' 2-3-6. Travel&amp;Costs of Stay'!N:N)</f>
        <v>24000</v>
      </c>
      <c r="L28" s="17">
        <f>IF(OR(C28="",D28=""),0,SUM(F28:K28))</f>
        <v>34834</v>
      </c>
    </row>
    <row r="29" spans="2:12" x14ac:dyDescent="0.45">
      <c r="B29" s="44" t="s">
        <v>10</v>
      </c>
      <c r="C29" s="18" t="s">
        <v>365</v>
      </c>
      <c r="D29" s="14" t="s">
        <v>48</v>
      </c>
      <c r="E29" s="15" t="str">
        <f>IFERROR(IF(D29&lt;&gt;"",VLOOKUP(D29,CountryType,2,FALSE),""),"Country not found")</f>
        <v>Programme Countries</v>
      </c>
      <c r="F29" s="16">
        <f>SUMIF('1. Staff costs'!C:C,B29,'1. Staff costs'!S:S)</f>
        <v>1153</v>
      </c>
      <c r="G29" s="16">
        <f>SUMIF(' 2-3-6. Travel&amp;Costs of Stay'!C:C,B29,' 2-3-6. Travel&amp;Costs of Stay'!O:O)</f>
        <v>0</v>
      </c>
      <c r="H29" s="16">
        <f>SUMIF(' 2-3-6. Travel&amp;Costs of Stay'!C:C,B29,' 2-3-6. Travel&amp;Costs of Stay'!P:P)</f>
        <v>0</v>
      </c>
      <c r="I29" s="16">
        <f>SUMIF('4. Equipment Costs'!C:C,B29,'4. Equipment Costs'!H:H)</f>
        <v>0</v>
      </c>
      <c r="J29" s="16">
        <f>SUMIF('5. Subcontracting Costs'!C:C,B29,'5. Subcontracting Costs'!H:H)</f>
        <v>0</v>
      </c>
      <c r="K29" s="16">
        <f>SUMIF(' 2-3-6. Travel&amp;Costs of Stay'!C:C,B29,' 2-3-6. Travel&amp;Costs of Stay'!N:N)</f>
        <v>0</v>
      </c>
      <c r="L29" s="17">
        <f>IF(OR(C29="",D29=""),0,SUM(F29:K29))</f>
        <v>1153</v>
      </c>
    </row>
    <row r="30" spans="2:12" x14ac:dyDescent="0.45">
      <c r="B30" s="44" t="s">
        <v>11</v>
      </c>
      <c r="C30" s="18" t="s">
        <v>368</v>
      </c>
      <c r="D30" s="14" t="s">
        <v>46</v>
      </c>
      <c r="E30" s="15" t="str">
        <f t="shared" si="0"/>
        <v>Programme Countries</v>
      </c>
      <c r="F30" s="16">
        <f>SUMIF('1. Staff costs'!C:C,B30,'1. Staff costs'!S:S)</f>
        <v>17043</v>
      </c>
      <c r="G30" s="16">
        <f>SUMIF(' 2-3-6. Travel&amp;Costs of Stay'!C:C,B30,' 2-3-6. Travel&amp;Costs of Stay'!O:O)</f>
        <v>4500</v>
      </c>
      <c r="H30" s="16">
        <f>SUMIF(' 2-3-6. Travel&amp;Costs of Stay'!C:C,B30,' 2-3-6. Travel&amp;Costs of Stay'!P:P)</f>
        <v>33250</v>
      </c>
      <c r="I30" s="16">
        <f>SUMIF('4. Equipment Costs'!C:C,B30,'4. Equipment Costs'!H:H)</f>
        <v>0</v>
      </c>
      <c r="J30" s="16">
        <f>SUMIF('5. Subcontracting Costs'!C:C,B30,'5. Subcontracting Costs'!H:H)</f>
        <v>12000</v>
      </c>
      <c r="K30" s="16">
        <f>SUMIF(' 2-3-6. Travel&amp;Costs of Stay'!C:C,B30,' 2-3-6. Travel&amp;Costs of Stay'!N:N)</f>
        <v>0</v>
      </c>
      <c r="L30" s="17">
        <f t="shared" ref="L30:L81" si="1">IF(OR(C30="",D30=""),0,SUM(F30:K30))</f>
        <v>66793</v>
      </c>
    </row>
    <row r="31" spans="2:12" x14ac:dyDescent="0.45">
      <c r="B31" s="44" t="s">
        <v>12</v>
      </c>
      <c r="C31" s="18" t="s">
        <v>369</v>
      </c>
      <c r="D31" s="14" t="s">
        <v>98</v>
      </c>
      <c r="E31" s="15" t="str">
        <f t="shared" si="0"/>
        <v>Programme Countries</v>
      </c>
      <c r="F31" s="16">
        <f>SUMIF('1. Staff costs'!C:C,B31,'1. Staff costs'!S:S)</f>
        <v>9580</v>
      </c>
      <c r="G31" s="16">
        <f>SUMIF(' 2-3-6. Travel&amp;Costs of Stay'!C:C,B31,' 2-3-6. Travel&amp;Costs of Stay'!O:O)</f>
        <v>0</v>
      </c>
      <c r="H31" s="16">
        <f>SUMIF(' 2-3-6. Travel&amp;Costs of Stay'!C:C,B31,' 2-3-6. Travel&amp;Costs of Stay'!P:P)</f>
        <v>6900</v>
      </c>
      <c r="I31" s="16">
        <f>SUMIF('4. Equipment Costs'!C:C,B31,'4. Equipment Costs'!H:H)</f>
        <v>0</v>
      </c>
      <c r="J31" s="16">
        <f>SUMIF('5. Subcontracting Costs'!C:C,B31,'5. Subcontracting Costs'!H:H)</f>
        <v>0</v>
      </c>
      <c r="K31" s="16">
        <f>SUMIF(' 2-3-6. Travel&amp;Costs of Stay'!C:C,B31,' 2-3-6. Travel&amp;Costs of Stay'!N:N)</f>
        <v>24000</v>
      </c>
      <c r="L31" s="17">
        <f t="shared" si="1"/>
        <v>40480</v>
      </c>
    </row>
    <row r="32" spans="2:12" x14ac:dyDescent="0.45">
      <c r="B32" s="44" t="s">
        <v>13</v>
      </c>
      <c r="C32" s="18" t="s">
        <v>370</v>
      </c>
      <c r="D32" s="14" t="s">
        <v>39</v>
      </c>
      <c r="E32" s="15" t="str">
        <f t="shared" si="0"/>
        <v>Programme Countries</v>
      </c>
      <c r="F32" s="16">
        <f>SUMIF('1. Staff costs'!C:C,B32,'1. Staff costs'!S:S)</f>
        <v>3603</v>
      </c>
      <c r="G32" s="16">
        <f>SUMIF(' 2-3-6. Travel&amp;Costs of Stay'!C:C,B32,' 2-3-6. Travel&amp;Costs of Stay'!O:O)</f>
        <v>0</v>
      </c>
      <c r="H32" s="16">
        <f>SUMIF(' 2-3-6. Travel&amp;Costs of Stay'!C:C,B32,' 2-3-6. Travel&amp;Costs of Stay'!P:P)</f>
        <v>0</v>
      </c>
      <c r="I32" s="16">
        <f>SUMIF('4. Equipment Costs'!C:C,B32,'4. Equipment Costs'!H:H)</f>
        <v>0</v>
      </c>
      <c r="J32" s="16">
        <f>SUMIF('5. Subcontracting Costs'!C:C,B32,'5. Subcontracting Costs'!H:H)</f>
        <v>0</v>
      </c>
      <c r="K32" s="16">
        <f>SUMIF(' 2-3-6. Travel&amp;Costs of Stay'!C:C,B32,' 2-3-6. Travel&amp;Costs of Stay'!N:N)</f>
        <v>0</v>
      </c>
      <c r="L32" s="17">
        <f t="shared" si="1"/>
        <v>3603</v>
      </c>
    </row>
    <row r="33" spans="2:12" x14ac:dyDescent="0.45">
      <c r="B33" s="44" t="s">
        <v>14</v>
      </c>
      <c r="C33" s="18" t="s">
        <v>366</v>
      </c>
      <c r="D33" s="14" t="s">
        <v>35</v>
      </c>
      <c r="E33" s="15" t="str">
        <f>IFERROR(IF(D33&lt;&gt;"",VLOOKUP(D33,CountryType,2,FALSE),""),"Country not found")</f>
        <v>Programme Countries</v>
      </c>
      <c r="F33" s="16">
        <f>SUMIF('1. Staff costs'!C:C,B33,'1. Staff costs'!S:S)</f>
        <v>56022</v>
      </c>
      <c r="G33" s="16">
        <f>SUMIF(' 2-3-6. Travel&amp;Costs of Stay'!C:C,B33,' 2-3-6. Travel&amp;Costs of Stay'!O:O)</f>
        <v>4500</v>
      </c>
      <c r="H33" s="16">
        <f>SUMIF(' 2-3-6. Travel&amp;Costs of Stay'!C:C,B33,' 2-3-6. Travel&amp;Costs of Stay'!P:P)</f>
        <v>33250</v>
      </c>
      <c r="I33" s="16">
        <f>SUMIF('4. Equipment Costs'!C:C,B33,'4. Equipment Costs'!H:H)</f>
        <v>0</v>
      </c>
      <c r="J33" s="16">
        <f>SUMIF('5. Subcontracting Costs'!C:C,B33,'5. Subcontracting Costs'!H:H)</f>
        <v>20000</v>
      </c>
      <c r="K33" s="16">
        <f>SUMIF(' 2-3-6. Travel&amp;Costs of Stay'!C:C,B33,' 2-3-6. Travel&amp;Costs of Stay'!N:N)</f>
        <v>0</v>
      </c>
      <c r="L33" s="17">
        <f>IF(OR(C33="",D33=""),0,SUM(F33:K33))</f>
        <v>113772</v>
      </c>
    </row>
    <row r="34" spans="2:12" ht="36" x14ac:dyDescent="0.45">
      <c r="B34" s="44" t="s">
        <v>15</v>
      </c>
      <c r="C34" s="18" t="s">
        <v>371</v>
      </c>
      <c r="D34" s="14" t="s">
        <v>98</v>
      </c>
      <c r="E34" s="15" t="str">
        <f t="shared" si="0"/>
        <v>Programme Countries</v>
      </c>
      <c r="F34" s="16">
        <f>SUMIF('1. Staff costs'!C:C,B34,'1. Staff costs'!S:S)</f>
        <v>3399</v>
      </c>
      <c r="G34" s="16">
        <f>SUMIF(' 2-3-6. Travel&amp;Costs of Stay'!C:C,B34,' 2-3-6. Travel&amp;Costs of Stay'!O:O)</f>
        <v>0</v>
      </c>
      <c r="H34" s="16">
        <f>SUMIF(' 2-3-6. Travel&amp;Costs of Stay'!C:C,B34,' 2-3-6. Travel&amp;Costs of Stay'!P:P)</f>
        <v>6180</v>
      </c>
      <c r="I34" s="16">
        <f>SUMIF('4. Equipment Costs'!C:C,B34,'4. Equipment Costs'!H:H)</f>
        <v>0</v>
      </c>
      <c r="J34" s="16">
        <f>SUMIF('5. Subcontracting Costs'!C:C,B34,'5. Subcontracting Costs'!H:H)</f>
        <v>0</v>
      </c>
      <c r="K34" s="16">
        <f>SUMIF(' 2-3-6. Travel&amp;Costs of Stay'!C:C,B34,' 2-3-6. Travel&amp;Costs of Stay'!N:N)</f>
        <v>21600</v>
      </c>
      <c r="L34" s="17">
        <f t="shared" si="1"/>
        <v>31179</v>
      </c>
    </row>
    <row r="35" spans="2:12" x14ac:dyDescent="0.45">
      <c r="B35" s="44" t="s">
        <v>16</v>
      </c>
      <c r="C35" s="18" t="s">
        <v>372</v>
      </c>
      <c r="D35" s="14" t="s">
        <v>64</v>
      </c>
      <c r="E35" s="15" t="str">
        <f t="shared" si="0"/>
        <v>Partner Countries</v>
      </c>
      <c r="F35" s="16">
        <f>SUMIF('1. Staff costs'!C:C,B35,'1. Staff costs'!S:S)</f>
        <v>1335</v>
      </c>
      <c r="G35" s="16">
        <f>SUMIF(' 2-3-6. Travel&amp;Costs of Stay'!C:C,B35,' 2-3-6. Travel&amp;Costs of Stay'!O:O)</f>
        <v>0</v>
      </c>
      <c r="H35" s="16">
        <f>SUMIF(' 2-3-6. Travel&amp;Costs of Stay'!C:C,B35,' 2-3-6. Travel&amp;Costs of Stay'!P:P)</f>
        <v>0</v>
      </c>
      <c r="I35" s="16">
        <f>SUMIF('4. Equipment Costs'!C:C,B35,'4. Equipment Costs'!H:H)</f>
        <v>220000</v>
      </c>
      <c r="J35" s="16">
        <f>SUMIF('5. Subcontracting Costs'!C:C,B35,'5. Subcontracting Costs'!H:H)</f>
        <v>13000</v>
      </c>
      <c r="K35" s="16">
        <f>SUMIF(' 2-3-6. Travel&amp;Costs of Stay'!C:C,B35,' 2-3-6. Travel&amp;Costs of Stay'!N:N)</f>
        <v>0</v>
      </c>
      <c r="L35" s="17">
        <f t="shared" si="1"/>
        <v>234335</v>
      </c>
    </row>
    <row r="36" spans="2:12" x14ac:dyDescent="0.45">
      <c r="B36" s="44" t="s">
        <v>17</v>
      </c>
      <c r="C36" s="18" t="s">
        <v>373</v>
      </c>
      <c r="D36" s="14" t="s">
        <v>35</v>
      </c>
      <c r="E36" s="15" t="str">
        <f t="shared" si="0"/>
        <v>Programme Countries</v>
      </c>
      <c r="F36" s="16">
        <f>SUMIF('1. Staff costs'!C:C,B36,'1. Staff costs'!S:S)</f>
        <v>53882</v>
      </c>
      <c r="G36" s="16">
        <f>SUMIF(' 2-3-6. Travel&amp;Costs of Stay'!C:C,B36,' 2-3-6. Travel&amp;Costs of Stay'!O:O)</f>
        <v>4500</v>
      </c>
      <c r="H36" s="16">
        <f>SUMIF(' 2-3-6. Travel&amp;Costs of Stay'!C:C,B36,' 2-3-6. Travel&amp;Costs of Stay'!P:P)</f>
        <v>33250</v>
      </c>
      <c r="I36" s="16">
        <f>SUMIF('4. Equipment Costs'!C:C,B36,'4. Equipment Costs'!H:H)</f>
        <v>0</v>
      </c>
      <c r="J36" s="16">
        <f>SUMIF('5. Subcontracting Costs'!C:C,B36,'5. Subcontracting Costs'!H:H)</f>
        <v>0</v>
      </c>
      <c r="K36" s="16">
        <f>SUMIF(' 2-3-6. Travel&amp;Costs of Stay'!C:C,B36,' 2-3-6. Travel&amp;Costs of Stay'!N:N)</f>
        <v>0</v>
      </c>
      <c r="L36" s="17">
        <f t="shared" si="1"/>
        <v>91632</v>
      </c>
    </row>
    <row r="37" spans="2:12" x14ac:dyDescent="0.45">
      <c r="B37" s="44" t="s">
        <v>18</v>
      </c>
      <c r="C37" s="18" t="s">
        <v>374</v>
      </c>
      <c r="D37" s="14" t="s">
        <v>98</v>
      </c>
      <c r="E37" s="15" t="str">
        <f t="shared" si="0"/>
        <v>Programme Countries</v>
      </c>
      <c r="F37" s="16">
        <f>SUMIF('1. Staff costs'!C:C,B37,'1. Staff costs'!S:S)</f>
        <v>3688</v>
      </c>
      <c r="G37" s="16">
        <f>SUMIF(' 2-3-6. Travel&amp;Costs of Stay'!C:C,B37,' 2-3-6. Travel&amp;Costs of Stay'!O:O)</f>
        <v>0</v>
      </c>
      <c r="H37" s="16">
        <f>SUMIF(' 2-3-6. Travel&amp;Costs of Stay'!C:C,B37,' 2-3-6. Travel&amp;Costs of Stay'!P:P)</f>
        <v>6900</v>
      </c>
      <c r="I37" s="16">
        <f>SUMIF('4. Equipment Costs'!C:C,B37,'4. Equipment Costs'!H:H)</f>
        <v>0</v>
      </c>
      <c r="J37" s="16">
        <f>SUMIF('5. Subcontracting Costs'!C:C,B37,'5. Subcontracting Costs'!H:H)</f>
        <v>0</v>
      </c>
      <c r="K37" s="16">
        <f>SUMIF(' 2-3-6. Travel&amp;Costs of Stay'!C:C,B37,' 2-3-6. Travel&amp;Costs of Stay'!N:N)</f>
        <v>24000</v>
      </c>
      <c r="L37" s="17">
        <f t="shared" si="1"/>
        <v>34588</v>
      </c>
    </row>
    <row r="38" spans="2:12" x14ac:dyDescent="0.45">
      <c r="B38" s="44" t="s">
        <v>19</v>
      </c>
      <c r="C38" s="18" t="s">
        <v>375</v>
      </c>
      <c r="D38" s="14" t="s">
        <v>28</v>
      </c>
      <c r="E38" s="15" t="str">
        <f t="shared" si="0"/>
        <v>Programme Countries</v>
      </c>
      <c r="F38" s="16">
        <f>SUMIF('1. Staff costs'!C:C,B38,'1. Staff costs'!S:S)</f>
        <v>5686</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5686</v>
      </c>
    </row>
    <row r="39" spans="2:12" x14ac:dyDescent="0.45">
      <c r="B39" s="44" t="s">
        <v>156</v>
      </c>
      <c r="C39" s="18" t="s">
        <v>376</v>
      </c>
      <c r="D39" s="14" t="s">
        <v>39</v>
      </c>
      <c r="E39" s="15" t="str">
        <f t="shared" si="0"/>
        <v>Programme Countries</v>
      </c>
      <c r="F39" s="16">
        <f>SUMIF('1. Staff costs'!C:C,B39,'1. Staff costs'!S:S)</f>
        <v>64830</v>
      </c>
      <c r="G39" s="16">
        <f>SUMIF(' 2-3-6. Travel&amp;Costs of Stay'!C:C,B39,' 2-3-6. Travel&amp;Costs of Stay'!O:O)</f>
        <v>4500</v>
      </c>
      <c r="H39" s="16">
        <f>SUMIF(' 2-3-6. Travel&amp;Costs of Stay'!C:C,B39,' 2-3-6. Travel&amp;Costs of Stay'!P:P)</f>
        <v>33250</v>
      </c>
      <c r="I39" s="16">
        <f>SUMIF('4. Equipment Costs'!C:C,B39,'4. Equipment Costs'!H:H)</f>
        <v>0</v>
      </c>
      <c r="J39" s="16">
        <f>SUMIF('5. Subcontracting Costs'!C:C,B39,'5. Subcontracting Costs'!H:H)</f>
        <v>0</v>
      </c>
      <c r="K39" s="16">
        <f>SUMIF(' 2-3-6. Travel&amp;Costs of Stay'!C:C,B39,' 2-3-6. Travel&amp;Costs of Stay'!N:N)</f>
        <v>0</v>
      </c>
      <c r="L39" s="17">
        <f t="shared" si="1"/>
        <v>102580</v>
      </c>
    </row>
    <row r="40" spans="2:12" x14ac:dyDescent="0.45">
      <c r="B40" s="44" t="s">
        <v>20</v>
      </c>
      <c r="C40" s="18" t="s">
        <v>377</v>
      </c>
      <c r="D40" s="14" t="s">
        <v>98</v>
      </c>
      <c r="E40" s="15" t="str">
        <f t="shared" si="0"/>
        <v>Programme Countries</v>
      </c>
      <c r="F40" s="16">
        <f>SUMIF('1. Staff costs'!C:C,B40,'1. Staff costs'!S:S)</f>
        <v>3743</v>
      </c>
      <c r="G40" s="16">
        <f>SUMIF(' 2-3-6. Travel&amp;Costs of Stay'!C:C,B40,' 2-3-6. Travel&amp;Costs of Stay'!O:O)</f>
        <v>0</v>
      </c>
      <c r="H40" s="16">
        <f>SUMIF(' 2-3-6. Travel&amp;Costs of Stay'!C:C,B40,' 2-3-6. Travel&amp;Costs of Stay'!P:P)</f>
        <v>6900</v>
      </c>
      <c r="I40" s="16">
        <f>SUMIF('4. Equipment Costs'!C:C,B40,'4. Equipment Costs'!H:H)</f>
        <v>0</v>
      </c>
      <c r="J40" s="16">
        <f>SUMIF('5. Subcontracting Costs'!C:C,B40,'5. Subcontracting Costs'!H:H)</f>
        <v>0</v>
      </c>
      <c r="K40" s="16">
        <f>SUMIF(' 2-3-6. Travel&amp;Costs of Stay'!C:C,B40,' 2-3-6. Travel&amp;Costs of Stay'!N:N)</f>
        <v>24000</v>
      </c>
      <c r="L40" s="17">
        <f t="shared" si="1"/>
        <v>34643</v>
      </c>
    </row>
    <row r="41" spans="2:12" x14ac:dyDescent="0.45">
      <c r="B41" s="44" t="s">
        <v>21</v>
      </c>
      <c r="C41" s="18" t="s">
        <v>378</v>
      </c>
      <c r="D41" s="14" t="s">
        <v>39</v>
      </c>
      <c r="E41" s="15" t="str">
        <f t="shared" si="0"/>
        <v>Programme Countries</v>
      </c>
      <c r="F41" s="16">
        <f>SUMIF('1. Staff costs'!C:C,B41,'1. Staff costs'!S:S)</f>
        <v>5230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5230</v>
      </c>
    </row>
    <row r="42" spans="2:12" x14ac:dyDescent="0.45">
      <c r="B42" s="44" t="s">
        <v>22</v>
      </c>
      <c r="C42" s="18" t="s">
        <v>367</v>
      </c>
      <c r="D42" s="14" t="s">
        <v>4</v>
      </c>
      <c r="E42" s="15" t="str">
        <f t="shared" si="0"/>
        <v>Programme Countries</v>
      </c>
      <c r="F42" s="16">
        <f>SUMIF('1. Staff costs'!C:C,B42,'1. Staff costs'!S:S)</f>
        <v>49862</v>
      </c>
      <c r="G42" s="16">
        <f>SUMIF(' 2-3-6. Travel&amp;Costs of Stay'!C:C,B42,' 2-3-6. Travel&amp;Costs of Stay'!O:O)</f>
        <v>4500</v>
      </c>
      <c r="H42" s="16">
        <f>SUMIF(' 2-3-6. Travel&amp;Costs of Stay'!C:C,B42,' 2-3-6. Travel&amp;Costs of Stay'!P:P)</f>
        <v>33250</v>
      </c>
      <c r="I42" s="16">
        <f>SUMIF('4. Equipment Costs'!C:C,B42,'4. Equipment Costs'!H:H)</f>
        <v>0</v>
      </c>
      <c r="J42" s="16">
        <f>SUMIF('5. Subcontracting Costs'!C:C,B42,'5. Subcontracting Costs'!H:H)</f>
        <v>0</v>
      </c>
      <c r="K42" s="16">
        <f>SUMIF(' 2-3-6. Travel&amp;Costs of Stay'!C:C,B42,' 2-3-6. Travel&amp;Costs of Stay'!N:N)</f>
        <v>0</v>
      </c>
      <c r="L42" s="17">
        <f t="shared" si="1"/>
        <v>87612</v>
      </c>
    </row>
    <row r="43" spans="2:12" x14ac:dyDescent="0.4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45">
      <c r="B44" s="44" t="s">
        <v>24</v>
      </c>
      <c r="C44" s="18"/>
      <c r="D44" s="14"/>
      <c r="E44" s="15" t="str">
        <f>IFERROR(IF(D44&lt;&gt;"",VLOOKUP(D44,CountryType,2,FALSE),""),"Country not found")</f>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IF(OR(C44="",D44=""),0,SUM(F44:K44))</f>
        <v>0</v>
      </c>
    </row>
    <row r="45" spans="2:12" x14ac:dyDescent="0.4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4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4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4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4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4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4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4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4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4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4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4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4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4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4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4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4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4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4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4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4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4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4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4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4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4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4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4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4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4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4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4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4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4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4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4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4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115" priority="18">
      <formula>D17&gt;ROUND(D23*0.4,2)</formula>
    </cfRule>
  </conditionalFormatting>
  <conditionalFormatting sqref="D20">
    <cfRule type="expression" dxfId="114" priority="16">
      <formula>D20&gt;ROUND(D23*0.3,2)</formula>
    </cfRule>
  </conditionalFormatting>
  <conditionalFormatting sqref="D21">
    <cfRule type="expression" dxfId="113" priority="14">
      <formula>D21&gt;ROUND(D23*0.1,2)</formula>
    </cfRule>
  </conditionalFormatting>
  <conditionalFormatting sqref="D23">
    <cfRule type="cellIs" dxfId="112" priority="12" operator="notBetween">
      <formula>500000</formula>
      <formula>1000000</formula>
    </cfRule>
  </conditionalFormatting>
  <conditionalFormatting sqref="E18 I18">
    <cfRule type="cellIs" dxfId="111" priority="2" operator="equal">
      <formula>"Exceptional travel costs exceed 80% of total travel costs"</formula>
    </cfRule>
  </conditionalFormatting>
  <conditionalFormatting sqref="I19">
    <cfRule type="cellIs" dxfId="110"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5234375" defaultRowHeight="14.6" x14ac:dyDescent="0.4"/>
  <cols>
    <col min="1" max="1" width="30.3046875" style="85" customWidth="1"/>
    <col min="2" max="2" width="77.15234375" style="85" bestFit="1" customWidth="1"/>
    <col min="3" max="3" width="10.3828125" style="85" customWidth="1"/>
    <col min="4" max="16384" width="9.15234375" style="85"/>
  </cols>
  <sheetData>
    <row r="1" spans="1:2" ht="15.9" x14ac:dyDescent="0.45">
      <c r="A1" s="80" t="s">
        <v>339</v>
      </c>
      <c r="B1" s="81"/>
    </row>
    <row r="2" spans="1:2" x14ac:dyDescent="0.4">
      <c r="A2" s="82" t="s">
        <v>166</v>
      </c>
      <c r="B2" s="82" t="str">
        <f>IF(COUNTIF('1. Staff costs'!T:T,"Error")&lt;=1,"OK","Please check data in Tab '"&amp;A2&amp;"'")</f>
        <v>OK</v>
      </c>
    </row>
    <row r="3" spans="1:2" x14ac:dyDescent="0.4">
      <c r="A3" s="83" t="s">
        <v>338</v>
      </c>
      <c r="B3" s="83" t="str">
        <f>IF(COUNTIF(' 2-3-6. Travel&amp;Costs of Stay'!R:R,"Error")&lt;=1,"OK","Please check data in Tab '"&amp;A3&amp;"'")</f>
        <v>OK</v>
      </c>
    </row>
    <row r="4" spans="1:2" x14ac:dyDescent="0.4">
      <c r="A4" s="83" t="s">
        <v>185</v>
      </c>
      <c r="B4" s="83" t="str">
        <f>IF(COUNTIF('4. Equipment Costs'!I:T,"Error")&lt;=1,"OK","Please check data in Tab '"&amp;A4&amp;"'")</f>
        <v>OK</v>
      </c>
    </row>
    <row r="5" spans="1:2" x14ac:dyDescent="0.4">
      <c r="A5" s="83" t="s">
        <v>186</v>
      </c>
      <c r="B5" s="83" t="str">
        <f>IF(COUNTIF('5. Subcontracting Costs'!I:I,"Error")&lt;=1,"OK","Please check data in Tab '"&amp;A5&amp;"'")</f>
        <v>OK</v>
      </c>
    </row>
    <row r="6" spans="1:2" x14ac:dyDescent="0.4">
      <c r="A6" s="83" t="s">
        <v>337</v>
      </c>
      <c r="B6" s="83" t="str">
        <f>IF(COUNTIF('Co-financing'!J:J,"Error")&lt;=1,"OK","Please check data in Tab '"&amp;A6&amp;"'")</f>
        <v>OK</v>
      </c>
    </row>
    <row r="7" spans="1:2" x14ac:dyDescent="0.4">
      <c r="A7" s="84" t="s">
        <v>336</v>
      </c>
      <c r="B7" s="84" t="str">
        <f>IF(' 2-3-6. Travel&amp;Costs of Stay'!K4="","OK","Please check Exceptional Travel Costs (EUR) in Tab '"&amp;A3&amp;"'")</f>
        <v>OK</v>
      </c>
    </row>
  </sheetData>
  <conditionalFormatting sqref="B2:B7">
    <cfRule type="cellIs" dxfId="108" priority="5" operator="notEqual">
      <formula>"OK"</formula>
    </cfRule>
    <cfRule type="cellIs" dxfId="107"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52"/>
  <sheetViews>
    <sheetView showGridLines="0" tabSelected="1" topLeftCell="A18" zoomScale="85" zoomScaleNormal="85" zoomScaleSheetLayoutView="55" workbookViewId="0">
      <selection activeCell="B49" sqref="B49"/>
    </sheetView>
  </sheetViews>
  <sheetFormatPr defaultColWidth="9.15234375" defaultRowHeight="18" x14ac:dyDescent="0.45"/>
  <cols>
    <col min="1" max="1" width="1.69140625" style="1" customWidth="1"/>
    <col min="2" max="2" width="42.69140625" style="1" customWidth="1"/>
    <col min="3" max="3" width="10.69140625" style="1" customWidth="1"/>
    <col min="4" max="5" width="50.69140625" style="2" customWidth="1"/>
    <col min="6" max="6" width="20.69140625" style="2" customWidth="1"/>
    <col min="7" max="19" width="20.69140625" style="1" customWidth="1"/>
    <col min="20" max="20" width="11.69140625" style="1" bestFit="1" customWidth="1"/>
    <col min="21" max="21" width="1.69140625" style="1" customWidth="1"/>
    <col min="22" max="16384" width="9.15234375" style="1"/>
  </cols>
  <sheetData>
    <row r="1" spans="2:20" ht="8.15" customHeight="1" x14ac:dyDescent="0.45"/>
    <row r="2" spans="2:20" s="20" customFormat="1" ht="40" customHeight="1" x14ac:dyDescent="0.45">
      <c r="B2" s="131" t="s">
        <v>166</v>
      </c>
      <c r="C2" s="131"/>
      <c r="D2" s="131"/>
      <c r="E2" s="131"/>
      <c r="F2" s="131"/>
      <c r="G2" s="131"/>
      <c r="H2" s="131"/>
      <c r="I2" s="131"/>
      <c r="J2" s="131"/>
      <c r="K2" s="131"/>
      <c r="L2" s="131"/>
      <c r="M2" s="131"/>
      <c r="N2" s="131"/>
      <c r="O2" s="131"/>
      <c r="P2" s="131"/>
      <c r="Q2" s="131"/>
      <c r="R2" s="131"/>
      <c r="S2" s="131"/>
      <c r="T2" s="131"/>
    </row>
    <row r="3" spans="2:20" s="20" customFormat="1" ht="8.15" customHeight="1" x14ac:dyDescent="0.45">
      <c r="B3" s="128"/>
      <c r="C3" s="129"/>
      <c r="D3" s="129"/>
      <c r="E3" s="129"/>
      <c r="F3" s="129"/>
      <c r="G3" s="129"/>
      <c r="H3" s="129"/>
      <c r="I3" s="129"/>
      <c r="J3" s="129"/>
      <c r="K3" s="129"/>
      <c r="L3" s="129"/>
      <c r="M3" s="129"/>
      <c r="N3" s="129"/>
      <c r="O3" s="129"/>
      <c r="P3" s="129"/>
      <c r="Q3" s="129"/>
      <c r="R3" s="129"/>
      <c r="S3" s="129"/>
      <c r="T3" s="130"/>
    </row>
    <row r="4" spans="2:20" s="20" customFormat="1" ht="20.149999999999999" customHeight="1" x14ac:dyDescent="0.45">
      <c r="B4" s="125"/>
      <c r="C4" s="127"/>
      <c r="D4" s="40" t="s">
        <v>184</v>
      </c>
      <c r="E4" s="40" t="s">
        <v>182</v>
      </c>
      <c r="F4" s="122"/>
      <c r="G4" s="123"/>
      <c r="H4" s="123"/>
      <c r="I4" s="123"/>
      <c r="J4" s="123"/>
      <c r="K4" s="123"/>
      <c r="L4" s="123"/>
      <c r="M4" s="123"/>
      <c r="N4" s="123"/>
      <c r="O4" s="123"/>
      <c r="P4" s="123"/>
      <c r="Q4" s="123"/>
      <c r="R4" s="123"/>
      <c r="S4" s="123"/>
      <c r="T4" s="124"/>
    </row>
    <row r="5" spans="2:20" s="20" customFormat="1" ht="20.149999999999999" customHeight="1" x14ac:dyDescent="0.45">
      <c r="B5" s="136" t="s">
        <v>131</v>
      </c>
      <c r="C5" s="137"/>
      <c r="D5" s="41">
        <f>SUM(H:H)</f>
        <v>175204</v>
      </c>
      <c r="E5" s="24">
        <f>SUMIF(T:T,"&lt;&gt;Error",F:F)</f>
        <v>804</v>
      </c>
      <c r="F5" s="122"/>
      <c r="G5" s="123"/>
      <c r="H5" s="123"/>
      <c r="I5" s="123"/>
      <c r="J5" s="123"/>
      <c r="K5" s="123"/>
      <c r="L5" s="123"/>
      <c r="M5" s="123"/>
      <c r="N5" s="123"/>
      <c r="O5" s="123"/>
      <c r="P5" s="123"/>
      <c r="Q5" s="123"/>
      <c r="R5" s="123"/>
      <c r="S5" s="123"/>
      <c r="T5" s="124"/>
    </row>
    <row r="6" spans="2:20" s="20" customFormat="1" ht="20.149999999999999" customHeight="1" x14ac:dyDescent="0.45">
      <c r="B6" s="138" t="s">
        <v>129</v>
      </c>
      <c r="C6" s="139"/>
      <c r="D6" s="41">
        <f>SUM(K:K)</f>
        <v>76640</v>
      </c>
      <c r="E6" s="24">
        <f>SUMIF(T:T,"&lt;&gt;Error",I:I)</f>
        <v>535</v>
      </c>
      <c r="F6" s="122"/>
      <c r="G6" s="123"/>
      <c r="H6" s="123"/>
      <c r="I6" s="123"/>
      <c r="J6" s="123"/>
      <c r="K6" s="123"/>
      <c r="L6" s="123"/>
      <c r="M6" s="123"/>
      <c r="N6" s="123"/>
      <c r="O6" s="123"/>
      <c r="P6" s="123"/>
      <c r="Q6" s="123"/>
      <c r="R6" s="123"/>
      <c r="S6" s="123"/>
      <c r="T6" s="124"/>
    </row>
    <row r="7" spans="2:20" s="20" customFormat="1" ht="20.149999999999999" customHeight="1" x14ac:dyDescent="0.45">
      <c r="B7" s="136" t="s">
        <v>314</v>
      </c>
      <c r="C7" s="137"/>
      <c r="D7" s="41">
        <f>SUM(N:N)</f>
        <v>34740</v>
      </c>
      <c r="E7" s="24">
        <f>SUMIF(T:T,"&lt;&gt;Error",L:L)</f>
        <v>369</v>
      </c>
      <c r="F7" s="122"/>
      <c r="G7" s="123"/>
      <c r="H7" s="123"/>
      <c r="I7" s="123"/>
      <c r="J7" s="123"/>
      <c r="K7" s="123"/>
      <c r="L7" s="123"/>
      <c r="M7" s="123"/>
      <c r="N7" s="123"/>
      <c r="O7" s="123"/>
      <c r="P7" s="123"/>
      <c r="Q7" s="123"/>
      <c r="R7" s="123"/>
      <c r="S7" s="123"/>
      <c r="T7" s="124"/>
    </row>
    <row r="8" spans="2:20" s="20" customFormat="1" ht="20.149999999999999" customHeight="1" x14ac:dyDescent="0.45">
      <c r="B8" s="136" t="s">
        <v>313</v>
      </c>
      <c r="C8" s="137"/>
      <c r="D8" s="41">
        <f>SUM(Q:Q)</f>
        <v>13016</v>
      </c>
      <c r="E8" s="24">
        <f>SUMIF(T:T,"&lt;&gt;Error",O:O)</f>
        <v>178</v>
      </c>
      <c r="F8" s="122"/>
      <c r="G8" s="123"/>
      <c r="H8" s="123"/>
      <c r="I8" s="123"/>
      <c r="J8" s="123"/>
      <c r="K8" s="123"/>
      <c r="L8" s="123"/>
      <c r="M8" s="123"/>
      <c r="N8" s="123"/>
      <c r="O8" s="123"/>
      <c r="P8" s="123"/>
      <c r="Q8" s="123"/>
      <c r="R8" s="123"/>
      <c r="S8" s="123"/>
      <c r="T8" s="124"/>
    </row>
    <row r="9" spans="2:20" s="20" customFormat="1" ht="20.149999999999999" customHeight="1" x14ac:dyDescent="0.45">
      <c r="B9" s="140"/>
      <c r="C9" s="141"/>
      <c r="D9" s="26">
        <f>SUM(D5:D8)</f>
        <v>299600</v>
      </c>
      <c r="E9" s="25">
        <f>SUM(E5:E8)</f>
        <v>1886</v>
      </c>
      <c r="F9" s="122"/>
      <c r="G9" s="123"/>
      <c r="H9" s="123"/>
      <c r="I9" s="123"/>
      <c r="J9" s="123"/>
      <c r="K9" s="123"/>
      <c r="L9" s="123"/>
      <c r="M9" s="123"/>
      <c r="N9" s="123"/>
      <c r="O9" s="123"/>
      <c r="P9" s="123"/>
      <c r="Q9" s="123"/>
      <c r="R9" s="123"/>
      <c r="S9" s="123"/>
      <c r="T9" s="124"/>
    </row>
    <row r="10" spans="2:20" s="20" customFormat="1" ht="8.15" customHeight="1" x14ac:dyDescent="0.45">
      <c r="B10" s="125"/>
      <c r="C10" s="126"/>
      <c r="D10" s="126"/>
      <c r="E10" s="126"/>
      <c r="F10" s="126"/>
      <c r="G10" s="126"/>
      <c r="H10" s="126"/>
      <c r="I10" s="126"/>
      <c r="J10" s="126"/>
      <c r="K10" s="126"/>
      <c r="L10" s="126"/>
      <c r="M10" s="126"/>
      <c r="N10" s="126"/>
      <c r="O10" s="126"/>
      <c r="P10" s="126"/>
      <c r="Q10" s="126"/>
      <c r="R10" s="126"/>
      <c r="S10" s="126"/>
      <c r="T10" s="127"/>
    </row>
    <row r="11" spans="2:20" s="45" customFormat="1" ht="23.15" customHeight="1" x14ac:dyDescent="0.45">
      <c r="B11" s="120" t="s">
        <v>162</v>
      </c>
      <c r="C11" s="120" t="s">
        <v>147</v>
      </c>
      <c r="D11" s="120" t="s">
        <v>216</v>
      </c>
      <c r="E11" s="120" t="s">
        <v>217</v>
      </c>
      <c r="F11" s="132" t="str">
        <f>'Unit Costs &amp; Funding Rule'!D7</f>
        <v>Manager</v>
      </c>
      <c r="G11" s="132"/>
      <c r="H11" s="132"/>
      <c r="I11" s="133" t="str">
        <f>'Unit Costs &amp; Funding Rule'!E7</f>
        <v>Teacher/Trainer/Researcher</v>
      </c>
      <c r="J11" s="134"/>
      <c r="K11" s="135"/>
      <c r="L11" s="132" t="str">
        <f>'Unit Costs &amp; Funding Rule'!F7</f>
        <v>Technical Staff</v>
      </c>
      <c r="M11" s="132"/>
      <c r="N11" s="132"/>
      <c r="O11" s="132" t="str">
        <f>'Unit Costs &amp; Funding Rule'!G7</f>
        <v>Administrative Staff</v>
      </c>
      <c r="P11" s="132"/>
      <c r="Q11" s="132"/>
      <c r="R11" s="120" t="s">
        <v>198</v>
      </c>
      <c r="S11" s="120" t="s">
        <v>163</v>
      </c>
      <c r="T11" s="120" t="s">
        <v>218</v>
      </c>
    </row>
    <row r="12" spans="2:20" s="45" customFormat="1" ht="42" customHeight="1" x14ac:dyDescent="0.45">
      <c r="B12" s="121"/>
      <c r="C12" s="121"/>
      <c r="D12" s="121"/>
      <c r="E12" s="121"/>
      <c r="F12" s="46" t="s">
        <v>207</v>
      </c>
      <c r="G12" s="27" t="s">
        <v>211</v>
      </c>
      <c r="H12" s="46" t="s">
        <v>164</v>
      </c>
      <c r="I12" s="46" t="s">
        <v>207</v>
      </c>
      <c r="J12" s="27" t="s">
        <v>211</v>
      </c>
      <c r="K12" s="46" t="s">
        <v>164</v>
      </c>
      <c r="L12" s="46" t="s">
        <v>207</v>
      </c>
      <c r="M12" s="27" t="s">
        <v>211</v>
      </c>
      <c r="N12" s="46" t="s">
        <v>164</v>
      </c>
      <c r="O12" s="46" t="s">
        <v>207</v>
      </c>
      <c r="P12" s="27" t="s">
        <v>211</v>
      </c>
      <c r="Q12" s="46" t="s">
        <v>164</v>
      </c>
      <c r="R12" s="121"/>
      <c r="S12" s="121"/>
      <c r="T12" s="121"/>
    </row>
    <row r="13" spans="2:20" s="34" customFormat="1" hidden="1" x14ac:dyDescent="0.4">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4">
      <c r="B14" s="14" t="s">
        <v>173</v>
      </c>
      <c r="C14" s="19" t="s">
        <v>8</v>
      </c>
      <c r="D14" s="42" t="str">
        <f t="shared" si="0"/>
        <v>MMADD</v>
      </c>
      <c r="E14" s="42" t="str">
        <f t="shared" si="1"/>
        <v>Serbia</v>
      </c>
      <c r="F14" s="28">
        <v>21</v>
      </c>
      <c r="G14" s="29">
        <f t="shared" si="2"/>
        <v>88</v>
      </c>
      <c r="H14" s="30">
        <f t="shared" si="3"/>
        <v>1848</v>
      </c>
      <c r="I14" s="28">
        <v>7</v>
      </c>
      <c r="J14" s="29">
        <f t="shared" si="4"/>
        <v>74</v>
      </c>
      <c r="K14" s="30">
        <f t="shared" si="5"/>
        <v>518</v>
      </c>
      <c r="L14" s="28">
        <v>14</v>
      </c>
      <c r="M14" s="29">
        <f t="shared" si="6"/>
        <v>55</v>
      </c>
      <c r="N14" s="30">
        <f t="shared" si="7"/>
        <v>770</v>
      </c>
      <c r="O14" s="28">
        <v>23</v>
      </c>
      <c r="P14" s="29">
        <f t="shared" si="8"/>
        <v>39</v>
      </c>
      <c r="Q14" s="30">
        <f t="shared" si="9"/>
        <v>897</v>
      </c>
      <c r="R14" s="31">
        <f t="shared" si="10"/>
        <v>65</v>
      </c>
      <c r="S14" s="32">
        <f t="shared" si="11"/>
        <v>4033</v>
      </c>
      <c r="T14" s="33" t="str">
        <f t="shared" si="12"/>
        <v/>
      </c>
    </row>
    <row r="15" spans="2:20" s="34" customFormat="1" x14ac:dyDescent="0.4">
      <c r="B15" s="14" t="s">
        <v>173</v>
      </c>
      <c r="C15" s="19" t="s">
        <v>9</v>
      </c>
      <c r="D15" s="42" t="str">
        <f t="shared" ref="D15:D16" si="13">IFERROR(IF(VLOOKUP(C15,PartnerN°Ref,2,FALSE)=0,"",VLOOKUP(C15,PartnerN°Ref,2,FALSE)),"")</f>
        <v xml:space="preserve">Univerzitet u Beogradu, Matematički fakultet </v>
      </c>
      <c r="E15" s="42" t="str">
        <f t="shared" ref="E15:E16" si="14">IFERROR(IF(OR(VLOOKUP(C15,PartnerN°Ref,4,FALSE)="Country not found",VLOOKUP(C15,PartnerN°Ref,3,FALSE)=0),"",VLOOKUP(C15,PartnerN°Ref,3,FALSE)),"")</f>
        <v>Serbia</v>
      </c>
      <c r="F15" s="28">
        <v>0</v>
      </c>
      <c r="G15" s="29">
        <f t="shared" ref="G15:G16" si="15">IF(T15="Error",0,INDEX(Rates,MATCH(E15,CountryALL,0),MATCH($F$11,Category,0)))</f>
        <v>88</v>
      </c>
      <c r="H15" s="30">
        <f t="shared" ref="H15:H16" si="16">IFERROR(IF(T15="Error",0,ROUND(F15*G15,2)),0)</f>
        <v>0</v>
      </c>
      <c r="I15" s="28">
        <v>0</v>
      </c>
      <c r="J15" s="29">
        <f t="shared" ref="J15:J16" si="17">IF(T15="Error",0,INDEX(Rates,MATCH(E15,CountryALL,0),MATCH($I$11,Category,0)))</f>
        <v>74</v>
      </c>
      <c r="K15" s="30">
        <f t="shared" ref="K15:K16" si="18">IFERROR(IF(T15="Error",0,ROUND(I15*J15,2)),0)</f>
        <v>0</v>
      </c>
      <c r="L15" s="28">
        <v>0</v>
      </c>
      <c r="M15" s="29">
        <f t="shared" ref="M15:M16" si="19">IF(T15="Error",0,INDEX(Rates,MATCH(E15,CountryALL,0),MATCH($L$11,Category,0)))</f>
        <v>55</v>
      </c>
      <c r="N15" s="30">
        <f t="shared" ref="N15:N16" si="20">IFERROR(IF(T15="Error",0,ROUND(L15*M15,2)),0)</f>
        <v>0</v>
      </c>
      <c r="O15" s="28">
        <v>3</v>
      </c>
      <c r="P15" s="29">
        <f t="shared" ref="P15:P16" si="21">IF(T15="Error",0,INDEX(Rates,MATCH(E15,CountryALL,0),MATCH($O$11,Category,0)))</f>
        <v>39</v>
      </c>
      <c r="Q15" s="30">
        <f t="shared" ref="Q15:Q16" si="22">IFERROR(IF(T15="Error",0,ROUND(O15*P15,2)),0)</f>
        <v>117</v>
      </c>
      <c r="R15" s="31">
        <f t="shared" ref="R15:R16" si="23">IF(T15="Error",0,F15+I15+L15+O15)</f>
        <v>3</v>
      </c>
      <c r="S15" s="32">
        <f t="shared" ref="S15:S16" si="24">IF(T15="Error",0,H15+K15+N15+Q15)</f>
        <v>117</v>
      </c>
      <c r="T15" s="33" t="str">
        <f t="shared" ref="T15:T16"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4">
      <c r="B16" s="14" t="s">
        <v>173</v>
      </c>
      <c r="C16" s="19" t="s">
        <v>10</v>
      </c>
      <c r="D16" s="42" t="str">
        <f t="shared" si="13"/>
        <v>Central European University (CEU)</v>
      </c>
      <c r="E16" s="42" t="str">
        <f t="shared" si="14"/>
        <v>Hungary</v>
      </c>
      <c r="F16" s="28">
        <v>0</v>
      </c>
      <c r="G16" s="29">
        <f t="shared" si="15"/>
        <v>88</v>
      </c>
      <c r="H16" s="30">
        <f t="shared" si="16"/>
        <v>0</v>
      </c>
      <c r="I16" s="28">
        <v>0</v>
      </c>
      <c r="J16" s="29">
        <f t="shared" si="17"/>
        <v>74</v>
      </c>
      <c r="K16" s="30">
        <f t="shared" si="18"/>
        <v>0</v>
      </c>
      <c r="L16" s="28">
        <v>0</v>
      </c>
      <c r="M16" s="29">
        <f t="shared" si="19"/>
        <v>55</v>
      </c>
      <c r="N16" s="30">
        <f t="shared" si="20"/>
        <v>0</v>
      </c>
      <c r="O16" s="28">
        <v>3</v>
      </c>
      <c r="P16" s="29">
        <f t="shared" si="21"/>
        <v>39</v>
      </c>
      <c r="Q16" s="30">
        <f t="shared" si="22"/>
        <v>117</v>
      </c>
      <c r="R16" s="31">
        <f t="shared" si="23"/>
        <v>3</v>
      </c>
      <c r="S16" s="32">
        <f t="shared" si="24"/>
        <v>117</v>
      </c>
      <c r="T16" s="33" t="str">
        <f t="shared" si="25"/>
        <v/>
      </c>
    </row>
    <row r="17" spans="2:20" s="34" customFormat="1" x14ac:dyDescent="0.4">
      <c r="B17" s="14" t="s">
        <v>173</v>
      </c>
      <c r="C17" s="19" t="s">
        <v>11</v>
      </c>
      <c r="D17" s="42" t="str">
        <f t="shared" ref="D17:D18" si="26">IFERROR(IF(VLOOKUP(C17,PartnerN°Ref,2,FALSE)=0,"",VLOOKUP(C17,PartnerN°Ref,2,FALSE)),"")</f>
        <v>Fakultet elektrotehnike i računarstva (FER)</v>
      </c>
      <c r="E17" s="42" t="str">
        <f t="shared" ref="E17:E18" si="27">IFERROR(IF(OR(VLOOKUP(C17,PartnerN°Ref,4,FALSE)="Country not found",VLOOKUP(C17,PartnerN°Ref,3,FALSE)=0),"",VLOOKUP(C17,PartnerN°Ref,3,FALSE)),"")</f>
        <v>Croatia</v>
      </c>
      <c r="F17" s="28">
        <v>7</v>
      </c>
      <c r="G17" s="29">
        <f t="shared" ref="G17:G18" si="28">IF(T17="Error",0,INDEX(Rates,MATCH(E17,CountryALL,0),MATCH($F$11,Category,0)))</f>
        <v>88</v>
      </c>
      <c r="H17" s="30">
        <f t="shared" ref="H17:H18" si="29">IFERROR(IF(T17="Error",0,ROUND(F17*G17,2)),0)</f>
        <v>616</v>
      </c>
      <c r="I17" s="28">
        <v>3</v>
      </c>
      <c r="J17" s="29">
        <f t="shared" ref="J17:J18" si="30">IF(T17="Error",0,INDEX(Rates,MATCH(E17,CountryALL,0),MATCH($I$11,Category,0)))</f>
        <v>74</v>
      </c>
      <c r="K17" s="30">
        <f t="shared" ref="K17:K18" si="31">IFERROR(IF(T17="Error",0,ROUND(I17*J17,2)),0)</f>
        <v>222</v>
      </c>
      <c r="L17" s="28">
        <v>0</v>
      </c>
      <c r="M17" s="29">
        <f t="shared" ref="M17:M18" si="32">IF(T17="Error",0,INDEX(Rates,MATCH(E17,CountryALL,0),MATCH($L$11,Category,0)))</f>
        <v>55</v>
      </c>
      <c r="N17" s="30">
        <f t="shared" ref="N17:N18" si="33">IFERROR(IF(T17="Error",0,ROUND(L17*M17,2)),0)</f>
        <v>0</v>
      </c>
      <c r="O17" s="28">
        <v>10</v>
      </c>
      <c r="P17" s="29">
        <f t="shared" ref="P17:P18" si="34">IF(T17="Error",0,INDEX(Rates,MATCH(E17,CountryALL,0),MATCH($O$11,Category,0)))</f>
        <v>39</v>
      </c>
      <c r="Q17" s="30">
        <f t="shared" ref="Q17:Q18" si="35">IFERROR(IF(T17="Error",0,ROUND(O17*P17,2)),0)</f>
        <v>390</v>
      </c>
      <c r="R17" s="31">
        <f t="shared" ref="R17:R18" si="36">IF(T17="Error",0,F17+I17+L17+O17)</f>
        <v>20</v>
      </c>
      <c r="S17" s="32">
        <f t="shared" ref="S17:S18" si="37">IF(T17="Error",0,H17+K17+N17+Q17)</f>
        <v>1228</v>
      </c>
      <c r="T17" s="33" t="str">
        <f t="shared" ref="T17:T18" si="38">IF(OR(COUNTIF(WorkPackage,B17)=0,COUNTIF(PartnerN°,C17)=0,D17="",COUNTIF(CountryALL,E17)=0,ISNUMBER(F17)=FALSE,ISNUMBER(I17)=FALSE,ISNUMBER(L17)=FALSE,ISNUMBER(O17)=FALSE,IF(ISNUMBER(F17)=TRUE,F17=INT(F17*10)/10=FALSE),IF(ISNUMBER(I17)=TRUE,I17=INT(I17*10)/10=FALSE),IF(ISNUMBER(L17)=TRUE,L17=INT(L17*10)/10=FALSE),IF(ISNUMBER(O17)=TRUE,O17=INT(O17*10)/10=FALSE)),"Error","")</f>
        <v/>
      </c>
    </row>
    <row r="18" spans="2:20" s="34" customFormat="1" x14ac:dyDescent="0.4">
      <c r="B18" s="14" t="s">
        <v>173</v>
      </c>
      <c r="C18" s="19" t="s">
        <v>12</v>
      </c>
      <c r="D18" s="42" t="str">
        <f t="shared" si="26"/>
        <v>ICT Hub Beograd</v>
      </c>
      <c r="E18" s="42" t="str">
        <f t="shared" si="27"/>
        <v>Serbia</v>
      </c>
      <c r="F18" s="28">
        <v>0</v>
      </c>
      <c r="G18" s="29">
        <f t="shared" si="28"/>
        <v>88</v>
      </c>
      <c r="H18" s="30">
        <f t="shared" si="29"/>
        <v>0</v>
      </c>
      <c r="I18" s="28">
        <v>0</v>
      </c>
      <c r="J18" s="29">
        <f t="shared" si="30"/>
        <v>74</v>
      </c>
      <c r="K18" s="30">
        <f t="shared" si="31"/>
        <v>0</v>
      </c>
      <c r="L18" s="28">
        <v>0</v>
      </c>
      <c r="M18" s="29">
        <f t="shared" si="32"/>
        <v>55</v>
      </c>
      <c r="N18" s="30">
        <f t="shared" si="33"/>
        <v>0</v>
      </c>
      <c r="O18" s="28">
        <v>3</v>
      </c>
      <c r="P18" s="29">
        <f t="shared" si="34"/>
        <v>39</v>
      </c>
      <c r="Q18" s="30">
        <f t="shared" si="35"/>
        <v>117</v>
      </c>
      <c r="R18" s="31">
        <f t="shared" si="36"/>
        <v>3</v>
      </c>
      <c r="S18" s="32">
        <f t="shared" si="37"/>
        <v>117</v>
      </c>
      <c r="T18" s="33" t="str">
        <f t="shared" si="38"/>
        <v/>
      </c>
    </row>
    <row r="19" spans="2:20" s="34" customFormat="1" x14ac:dyDescent="0.4">
      <c r="B19" s="14" t="s">
        <v>173</v>
      </c>
      <c r="C19" s="19" t="s">
        <v>13</v>
      </c>
      <c r="D19" s="42" t="str">
        <f t="shared" ref="D19" si="39">IFERROR(IF(VLOOKUP(C19,PartnerN°Ref,2,FALSE)=0,"",VLOOKUP(C19,PartnerN°Ref,2,FALSE)),"")</f>
        <v>University of Edinburgh</v>
      </c>
      <c r="E19" s="42" t="str">
        <f t="shared" ref="E19" si="40">IFERROR(IF(OR(VLOOKUP(C19,PartnerN°Ref,4,FALSE)="Country not found",VLOOKUP(C19,PartnerN°Ref,3,FALSE)=0),"",VLOOKUP(C19,PartnerN°Ref,3,FALSE)),"")</f>
        <v>United Kingdom</v>
      </c>
      <c r="F19" s="28">
        <v>0</v>
      </c>
      <c r="G19" s="29">
        <f t="shared" ref="G19" si="41">IF(T19="Error",0,INDEX(Rates,MATCH(E19,CountryALL,0),MATCH($F$11,Category,0)))</f>
        <v>280</v>
      </c>
      <c r="H19" s="30">
        <f t="shared" ref="H19" si="42">IFERROR(IF(T19="Error",0,ROUND(F19*G19,2)),0)</f>
        <v>0</v>
      </c>
      <c r="I19" s="28">
        <v>0</v>
      </c>
      <c r="J19" s="29">
        <f t="shared" ref="J19" si="43">IF(T19="Error",0,INDEX(Rates,MATCH(E19,CountryALL,0),MATCH($I$11,Category,0)))</f>
        <v>214</v>
      </c>
      <c r="K19" s="30">
        <f t="shared" ref="K19" si="44">IFERROR(IF(T19="Error",0,ROUND(I19*J19,2)),0)</f>
        <v>0</v>
      </c>
      <c r="L19" s="28">
        <v>0</v>
      </c>
      <c r="M19" s="29">
        <f t="shared" ref="M19" si="45">IF(T19="Error",0,INDEX(Rates,MATCH(E19,CountryALL,0),MATCH($L$11,Category,0)))</f>
        <v>162</v>
      </c>
      <c r="N19" s="30">
        <f t="shared" ref="N19" si="46">IFERROR(IF(T19="Error",0,ROUND(L19*M19,2)),0)</f>
        <v>0</v>
      </c>
      <c r="O19" s="28">
        <v>3</v>
      </c>
      <c r="P19" s="29">
        <f t="shared" ref="P19" si="47">IF(T19="Error",0,INDEX(Rates,MATCH(E19,CountryALL,0),MATCH($O$11,Category,0)))</f>
        <v>131</v>
      </c>
      <c r="Q19" s="30">
        <f t="shared" ref="Q19" si="48">IFERROR(IF(T19="Error",0,ROUND(O19*P19,2)),0)</f>
        <v>393</v>
      </c>
      <c r="R19" s="31">
        <f t="shared" ref="R19" si="49">IF(T19="Error",0,F19+I19+L19+O19)</f>
        <v>3</v>
      </c>
      <c r="S19" s="32">
        <f t="shared" ref="S19" si="50">IF(T19="Error",0,H19+K19+N19+Q19)</f>
        <v>393</v>
      </c>
      <c r="T19" s="33" t="str">
        <f t="shared" ref="T19" si="51">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34" customFormat="1" x14ac:dyDescent="0.4">
      <c r="B20" s="14" t="s">
        <v>173</v>
      </c>
      <c r="C20" s="19" t="s">
        <v>14</v>
      </c>
      <c r="D20" s="42" t="str">
        <f t="shared" ref="D20" si="52">IFERROR(IF(VLOOKUP(C20,PartnerN°Ref,2,FALSE)=0,"",VLOOKUP(C20,PartnerN°Ref,2,FALSE)),"")</f>
        <v>Station F</v>
      </c>
      <c r="E20" s="42" t="str">
        <f t="shared" ref="E20" si="53">IFERROR(IF(OR(VLOOKUP(C20,PartnerN°Ref,4,FALSE)="Country not found",VLOOKUP(C20,PartnerN°Ref,3,FALSE)=0),"",VLOOKUP(C20,PartnerN°Ref,3,FALSE)),"")</f>
        <v>France</v>
      </c>
      <c r="F20" s="28">
        <v>7</v>
      </c>
      <c r="G20" s="29">
        <f t="shared" ref="G20" si="54">IF(T20="Error",0,INDEX(Rates,MATCH(E20,CountryALL,0),MATCH($F$11,Category,0)))</f>
        <v>280</v>
      </c>
      <c r="H20" s="30">
        <f t="shared" ref="H20" si="55">IFERROR(IF(T20="Error",0,ROUND(F20*G20,2)),0)</f>
        <v>1960</v>
      </c>
      <c r="I20" s="28">
        <v>3</v>
      </c>
      <c r="J20" s="29">
        <f t="shared" ref="J20" si="56">IF(T20="Error",0,INDEX(Rates,MATCH(E20,CountryALL,0),MATCH($I$11,Category,0)))</f>
        <v>214</v>
      </c>
      <c r="K20" s="30">
        <f t="shared" ref="K20" si="57">IFERROR(IF(T20="Error",0,ROUND(I20*J20,2)),0)</f>
        <v>642</v>
      </c>
      <c r="L20" s="28">
        <v>0</v>
      </c>
      <c r="M20" s="29">
        <f t="shared" ref="M20" si="58">IF(T20="Error",0,INDEX(Rates,MATCH(E20,CountryALL,0),MATCH($L$11,Category,0)))</f>
        <v>162</v>
      </c>
      <c r="N20" s="30">
        <f t="shared" ref="N20" si="59">IFERROR(IF(T20="Error",0,ROUND(L20*M20,2)),0)</f>
        <v>0</v>
      </c>
      <c r="O20" s="28">
        <v>10</v>
      </c>
      <c r="P20" s="29">
        <f t="shared" ref="P20" si="60">IF(T20="Error",0,INDEX(Rates,MATCH(E20,CountryALL,0),MATCH($O$11,Category,0)))</f>
        <v>131</v>
      </c>
      <c r="Q20" s="30">
        <f t="shared" ref="Q20" si="61">IFERROR(IF(T20="Error",0,ROUND(O20*P20,2)),0)</f>
        <v>1310</v>
      </c>
      <c r="R20" s="31">
        <f t="shared" ref="R20" si="62">IF(T20="Error",0,F20+I20+L20+O20)</f>
        <v>20</v>
      </c>
      <c r="S20" s="32">
        <f t="shared" ref="S20" si="63">IF(T20="Error",0,H20+K20+N20+Q20)</f>
        <v>3912</v>
      </c>
      <c r="T20" s="33" t="str">
        <f t="shared" ref="T20" si="64">IF(OR(COUNTIF(WorkPackage,B20)=0,COUNTIF(PartnerN°,C20)=0,D20="",COUNTIF(CountryALL,E20)=0,ISNUMBER(F20)=FALSE,ISNUMBER(I20)=FALSE,ISNUMBER(L20)=FALSE,ISNUMBER(O20)=FALSE,IF(ISNUMBER(F20)=TRUE,F20=INT(F20*10)/10=FALSE),IF(ISNUMBER(I20)=TRUE,I20=INT(I20*10)/10=FALSE),IF(ISNUMBER(L20)=TRUE,L20=INT(L20*10)/10=FALSE),IF(ISNUMBER(O20)=TRUE,O20=INT(O20*10)/10=FALSE)),"Error","")</f>
        <v/>
      </c>
    </row>
    <row r="21" spans="2:20" s="34" customFormat="1" x14ac:dyDescent="0.4">
      <c r="B21" s="14" t="s">
        <v>173</v>
      </c>
      <c r="C21" s="19" t="s">
        <v>15</v>
      </c>
      <c r="D21" s="42" t="str">
        <f t="shared" ref="D21" si="65">IFERROR(IF(VLOOKUP(C21,PartnerN°Ref,2,FALSE)=0,"",VLOOKUP(C21,PartnerN°Ref,2,FALSE)),"")</f>
        <v>Fakultet tehničkih nauka, Univerzitet u Novom Sadu</v>
      </c>
      <c r="E21" s="42" t="str">
        <f t="shared" ref="E21" si="66">IFERROR(IF(OR(VLOOKUP(C21,PartnerN°Ref,4,FALSE)="Country not found",VLOOKUP(C21,PartnerN°Ref,3,FALSE)=0),"",VLOOKUP(C21,PartnerN°Ref,3,FALSE)),"")</f>
        <v>Serbia</v>
      </c>
      <c r="F21" s="28">
        <v>0</v>
      </c>
      <c r="G21" s="29">
        <f t="shared" ref="G21" si="67">IF(T21="Error",0,INDEX(Rates,MATCH(E21,CountryALL,0),MATCH($F$11,Category,0)))</f>
        <v>88</v>
      </c>
      <c r="H21" s="30">
        <f t="shared" ref="H21" si="68">IFERROR(IF(T21="Error",0,ROUND(F21*G21,2)),0)</f>
        <v>0</v>
      </c>
      <c r="I21" s="28">
        <v>0</v>
      </c>
      <c r="J21" s="29">
        <f t="shared" ref="J21" si="69">IF(T21="Error",0,INDEX(Rates,MATCH(E21,CountryALL,0),MATCH($I$11,Category,0)))</f>
        <v>74</v>
      </c>
      <c r="K21" s="30">
        <f t="shared" ref="K21" si="70">IFERROR(IF(T21="Error",0,ROUND(I21*J21,2)),0)</f>
        <v>0</v>
      </c>
      <c r="L21" s="28">
        <v>0</v>
      </c>
      <c r="M21" s="29">
        <f t="shared" ref="M21" si="71">IF(T21="Error",0,INDEX(Rates,MATCH(E21,CountryALL,0),MATCH($L$11,Category,0)))</f>
        <v>55</v>
      </c>
      <c r="N21" s="30">
        <f t="shared" ref="N21" si="72">IFERROR(IF(T21="Error",0,ROUND(L21*M21,2)),0)</f>
        <v>0</v>
      </c>
      <c r="O21" s="28">
        <v>3</v>
      </c>
      <c r="P21" s="29">
        <f t="shared" ref="P21" si="73">IF(T21="Error",0,INDEX(Rates,MATCH(E21,CountryALL,0),MATCH($O$11,Category,0)))</f>
        <v>39</v>
      </c>
      <c r="Q21" s="30">
        <f t="shared" ref="Q21" si="74">IFERROR(IF(T21="Error",0,ROUND(O21*P21,2)),0)</f>
        <v>117</v>
      </c>
      <c r="R21" s="31">
        <f t="shared" ref="R21" si="75">IF(T21="Error",0,F21+I21+L21+O21)</f>
        <v>3</v>
      </c>
      <c r="S21" s="32">
        <f t="shared" ref="S21" si="76">IF(T21="Error",0,H21+K21+N21+Q21)</f>
        <v>117</v>
      </c>
      <c r="T21" s="33" t="str">
        <f t="shared" ref="T21" si="77">IF(OR(COUNTIF(WorkPackage,B21)=0,COUNTIF(PartnerN°,C21)=0,D21="",COUNTIF(CountryALL,E21)=0,ISNUMBER(F21)=FALSE,ISNUMBER(I21)=FALSE,ISNUMBER(L21)=FALSE,ISNUMBER(O21)=FALSE,IF(ISNUMBER(F21)=TRUE,F21=INT(F21*10)/10=FALSE),IF(ISNUMBER(I21)=TRUE,I21=INT(I21*10)/10=FALSE),IF(ISNUMBER(L21)=TRUE,L21=INT(L21*10)/10=FALSE),IF(ISNUMBER(O21)=TRUE,O21=INT(O21*10)/10=FALSE)),"Error","")</f>
        <v/>
      </c>
    </row>
    <row r="22" spans="2:20" s="34" customFormat="1" x14ac:dyDescent="0.4">
      <c r="B22" s="14" t="s">
        <v>173</v>
      </c>
      <c r="C22" s="19" t="s">
        <v>16</v>
      </c>
      <c r="D22" s="42" t="str">
        <f t="shared" ref="D22" si="78">IFERROR(IF(VLOOKUP(C22,PartnerN°Ref,2,FALSE)=0,"",VLOOKUP(C22,PartnerN°Ref,2,FALSE)),"")</f>
        <v>International Burch University</v>
      </c>
      <c r="E22" s="42" t="str">
        <f t="shared" ref="E22" si="79">IFERROR(IF(OR(VLOOKUP(C22,PartnerN°Ref,4,FALSE)="Country not found",VLOOKUP(C22,PartnerN°Ref,3,FALSE)=0),"",VLOOKUP(C22,PartnerN°Ref,3,FALSE)),"")</f>
        <v>Bosnia and Herzegovina</v>
      </c>
      <c r="F22" s="28">
        <v>0</v>
      </c>
      <c r="G22" s="29">
        <f t="shared" ref="G22" si="80">IF(T22="Error",0,INDEX(Rates,MATCH(E22,CountryALL,0),MATCH($F$11,Category,0)))</f>
        <v>108</v>
      </c>
      <c r="H22" s="30">
        <f t="shared" ref="H22" si="81">IFERROR(IF(T22="Error",0,ROUND(F22*G22,2)),0)</f>
        <v>0</v>
      </c>
      <c r="I22" s="28">
        <v>0</v>
      </c>
      <c r="J22" s="29">
        <f t="shared" ref="J22" si="82">IF(T22="Error",0,INDEX(Rates,MATCH(E22,CountryALL,0),MATCH($I$11,Category,0)))</f>
        <v>80</v>
      </c>
      <c r="K22" s="30">
        <f t="shared" ref="K22" si="83">IFERROR(IF(T22="Error",0,ROUND(I22*J22,2)),0)</f>
        <v>0</v>
      </c>
      <c r="L22" s="28">
        <v>0</v>
      </c>
      <c r="M22" s="29">
        <f t="shared" ref="M22" si="84">IF(T22="Error",0,INDEX(Rates,MATCH(E22,CountryALL,0),MATCH($L$11,Category,0)))</f>
        <v>57</v>
      </c>
      <c r="N22" s="30">
        <f t="shared" ref="N22" si="85">IFERROR(IF(T22="Error",0,ROUND(L22*M22,2)),0)</f>
        <v>0</v>
      </c>
      <c r="O22" s="28">
        <v>3</v>
      </c>
      <c r="P22" s="29">
        <f t="shared" ref="P22" si="86">IF(T22="Error",0,INDEX(Rates,MATCH(E22,CountryALL,0),MATCH($O$11,Category,0)))</f>
        <v>45</v>
      </c>
      <c r="Q22" s="30">
        <f t="shared" ref="Q22" si="87">IFERROR(IF(T22="Error",0,ROUND(O22*P22,2)),0)</f>
        <v>135</v>
      </c>
      <c r="R22" s="31">
        <f t="shared" ref="R22" si="88">IF(T22="Error",0,F22+I22+L22+O22)</f>
        <v>3</v>
      </c>
      <c r="S22" s="32">
        <f t="shared" ref="S22" si="89">IF(T22="Error",0,H22+K22+N22+Q22)</f>
        <v>135</v>
      </c>
      <c r="T22" s="33" t="str">
        <f t="shared" ref="T22" si="90">IF(OR(COUNTIF(WorkPackage,B22)=0,COUNTIF(PartnerN°,C22)=0,D22="",COUNTIF(CountryALL,E22)=0,ISNUMBER(F22)=FALSE,ISNUMBER(I22)=FALSE,ISNUMBER(L22)=FALSE,ISNUMBER(O22)=FALSE,IF(ISNUMBER(F22)=TRUE,F22=INT(F22*10)/10=FALSE),IF(ISNUMBER(I22)=TRUE,I22=INT(I22*10)/10=FALSE),IF(ISNUMBER(L22)=TRUE,L22=INT(L22*10)/10=FALSE),IF(ISNUMBER(O22)=TRUE,O22=INT(O22*10)/10=FALSE)),"Error","")</f>
        <v/>
      </c>
    </row>
    <row r="23" spans="2:20" s="34" customFormat="1" x14ac:dyDescent="0.4">
      <c r="B23" s="14" t="s">
        <v>173</v>
      </c>
      <c r="C23" s="19" t="s">
        <v>17</v>
      </c>
      <c r="D23" s="42" t="str">
        <f t="shared" ref="D23" si="91">IFERROR(IF(VLOOKUP(C23,PartnerN°Ref,2,FALSE)=0,"",VLOOKUP(C23,PartnerN°Ref,2,FALSE)),"")</f>
        <v>Sorbonne Univerzitet</v>
      </c>
      <c r="E23" s="42" t="str">
        <f t="shared" ref="E23" si="92">IFERROR(IF(OR(VLOOKUP(C23,PartnerN°Ref,4,FALSE)="Country not found",VLOOKUP(C23,PartnerN°Ref,3,FALSE)=0),"",VLOOKUP(C23,PartnerN°Ref,3,FALSE)),"")</f>
        <v>France</v>
      </c>
      <c r="F23" s="28">
        <v>7</v>
      </c>
      <c r="G23" s="29">
        <f t="shared" ref="G23" si="93">IF(T23="Error",0,INDEX(Rates,MATCH(E23,CountryALL,0),MATCH($F$11,Category,0)))</f>
        <v>280</v>
      </c>
      <c r="H23" s="30">
        <f t="shared" ref="H23" si="94">IFERROR(IF(T23="Error",0,ROUND(F23*G23,2)),0)</f>
        <v>1960</v>
      </c>
      <c r="I23" s="28">
        <v>3</v>
      </c>
      <c r="J23" s="29">
        <f t="shared" ref="J23" si="95">IF(T23="Error",0,INDEX(Rates,MATCH(E23,CountryALL,0),MATCH($I$11,Category,0)))</f>
        <v>214</v>
      </c>
      <c r="K23" s="30">
        <f t="shared" ref="K23" si="96">IFERROR(IF(T23="Error",0,ROUND(I23*J23,2)),0)</f>
        <v>642</v>
      </c>
      <c r="L23" s="28">
        <v>0</v>
      </c>
      <c r="M23" s="29">
        <f t="shared" ref="M23" si="97">IF(T23="Error",0,INDEX(Rates,MATCH(E23,CountryALL,0),MATCH($L$11,Category,0)))</f>
        <v>162</v>
      </c>
      <c r="N23" s="30">
        <f t="shared" ref="N23" si="98">IFERROR(IF(T23="Error",0,ROUND(L23*M23,2)),0)</f>
        <v>0</v>
      </c>
      <c r="O23" s="28">
        <v>10</v>
      </c>
      <c r="P23" s="29">
        <f t="shared" ref="P23" si="99">IF(T23="Error",0,INDEX(Rates,MATCH(E23,CountryALL,0),MATCH($O$11,Category,0)))</f>
        <v>131</v>
      </c>
      <c r="Q23" s="30">
        <f t="shared" ref="Q23" si="100">IFERROR(IF(T23="Error",0,ROUND(O23*P23,2)),0)</f>
        <v>1310</v>
      </c>
      <c r="R23" s="31">
        <f t="shared" ref="R23" si="101">IF(T23="Error",0,F23+I23+L23+O23)</f>
        <v>20</v>
      </c>
      <c r="S23" s="32">
        <f t="shared" ref="S23" si="102">IF(T23="Error",0,H23+K23+N23+Q23)</f>
        <v>3912</v>
      </c>
      <c r="T23" s="33" t="str">
        <f t="shared" ref="T23" si="103">IF(OR(COUNTIF(WorkPackage,B23)=0,COUNTIF(PartnerN°,C23)=0,D23="",COUNTIF(CountryALL,E23)=0,ISNUMBER(F23)=FALSE,ISNUMBER(I23)=FALSE,ISNUMBER(L23)=FALSE,ISNUMBER(O23)=FALSE,IF(ISNUMBER(F23)=TRUE,F23=INT(F23*10)/10=FALSE),IF(ISNUMBER(I23)=TRUE,I23=INT(I23*10)/10=FALSE),IF(ISNUMBER(L23)=TRUE,L23=INT(L23*10)/10=FALSE),IF(ISNUMBER(O23)=TRUE,O23=INT(O23*10)/10=FALSE)),"Error","")</f>
        <v/>
      </c>
    </row>
    <row r="24" spans="2:20" s="34" customFormat="1" x14ac:dyDescent="0.4">
      <c r="B24" s="14" t="s">
        <v>173</v>
      </c>
      <c r="C24" s="19" t="s">
        <v>18</v>
      </c>
      <c r="D24" s="42" t="str">
        <f t="shared" ref="D24" si="104">IFERROR(IF(VLOOKUP(C24,PartnerN°Ref,2,FALSE)=0,"",VLOOKUP(C24,PartnerN°Ref,2,FALSE)),"")</f>
        <v>Univerzitet u Nišu, Elektronski fakultet</v>
      </c>
      <c r="E24" s="42" t="str">
        <f t="shared" ref="E24" si="105">IFERROR(IF(OR(VLOOKUP(C24,PartnerN°Ref,4,FALSE)="Country not found",VLOOKUP(C24,PartnerN°Ref,3,FALSE)=0),"",VLOOKUP(C24,PartnerN°Ref,3,FALSE)),"")</f>
        <v>Serbia</v>
      </c>
      <c r="F24" s="28">
        <v>0</v>
      </c>
      <c r="G24" s="29">
        <f t="shared" ref="G24" si="106">IF(T24="Error",0,INDEX(Rates,MATCH(E24,CountryALL,0),MATCH($F$11,Category,0)))</f>
        <v>88</v>
      </c>
      <c r="H24" s="30">
        <f t="shared" ref="H24" si="107">IFERROR(IF(T24="Error",0,ROUND(F24*G24,2)),0)</f>
        <v>0</v>
      </c>
      <c r="I24" s="28">
        <v>0</v>
      </c>
      <c r="J24" s="29">
        <f t="shared" ref="J24" si="108">IF(T24="Error",0,INDEX(Rates,MATCH(E24,CountryALL,0),MATCH($I$11,Category,0)))</f>
        <v>74</v>
      </c>
      <c r="K24" s="30">
        <f t="shared" ref="K24" si="109">IFERROR(IF(T24="Error",0,ROUND(I24*J24,2)),0)</f>
        <v>0</v>
      </c>
      <c r="L24" s="28">
        <v>0</v>
      </c>
      <c r="M24" s="29">
        <f t="shared" ref="M24" si="110">IF(T24="Error",0,INDEX(Rates,MATCH(E24,CountryALL,0),MATCH($L$11,Category,0)))</f>
        <v>55</v>
      </c>
      <c r="N24" s="30">
        <f t="shared" ref="N24" si="111">IFERROR(IF(T24="Error",0,ROUND(L24*M24,2)),0)</f>
        <v>0</v>
      </c>
      <c r="O24" s="28">
        <v>3</v>
      </c>
      <c r="P24" s="29">
        <f t="shared" ref="P24" si="112">IF(T24="Error",0,INDEX(Rates,MATCH(E24,CountryALL,0),MATCH($O$11,Category,0)))</f>
        <v>39</v>
      </c>
      <c r="Q24" s="30">
        <f t="shared" ref="Q24" si="113">IFERROR(IF(T24="Error",0,ROUND(O24*P24,2)),0)</f>
        <v>117</v>
      </c>
      <c r="R24" s="31">
        <f t="shared" ref="R24" si="114">IF(T24="Error",0,F24+I24+L24+O24)</f>
        <v>3</v>
      </c>
      <c r="S24" s="32">
        <f t="shared" ref="S24" si="115">IF(T24="Error",0,H24+K24+N24+Q24)</f>
        <v>117</v>
      </c>
      <c r="T24" s="33" t="str">
        <f t="shared" ref="T24" si="116">IF(OR(COUNTIF(WorkPackage,B24)=0,COUNTIF(PartnerN°,C24)=0,D24="",COUNTIF(CountryALL,E24)=0,ISNUMBER(F24)=FALSE,ISNUMBER(I24)=FALSE,ISNUMBER(L24)=FALSE,ISNUMBER(O24)=FALSE,IF(ISNUMBER(F24)=TRUE,F24=INT(F24*10)/10=FALSE),IF(ISNUMBER(I24)=TRUE,I24=INT(I24*10)/10=FALSE),IF(ISNUMBER(L24)=TRUE,L24=INT(L24*10)/10=FALSE),IF(ISNUMBER(O24)=TRUE,O24=INT(O24*10)/10=FALSE)),"Error","")</f>
        <v/>
      </c>
    </row>
    <row r="25" spans="2:20" s="34" customFormat="1" x14ac:dyDescent="0.4">
      <c r="B25" s="14" t="s">
        <v>173</v>
      </c>
      <c r="C25" s="19" t="s">
        <v>19</v>
      </c>
      <c r="D25" s="42" t="str">
        <f t="shared" ref="D25" si="117">IFERROR(IF(VLOOKUP(C25,PartnerN°Ref,2,FALSE)=0,"",VLOOKUP(C25,PartnerN°Ref,2,FALSE)),"")</f>
        <v>IT University of Copenhagen</v>
      </c>
      <c r="E25" s="42" t="str">
        <f t="shared" ref="E25" si="118">IFERROR(IF(OR(VLOOKUP(C25,PartnerN°Ref,4,FALSE)="Country not found",VLOOKUP(C25,PartnerN°Ref,3,FALSE)=0),"",VLOOKUP(C25,PartnerN°Ref,3,FALSE)),"")</f>
        <v>Denmark</v>
      </c>
      <c r="F25" s="28">
        <v>0</v>
      </c>
      <c r="G25" s="29">
        <f t="shared" ref="G25" si="119">IF(T25="Error",0,INDEX(Rates,MATCH(E25,CountryALL,0),MATCH($F$11,Category,0)))</f>
        <v>294</v>
      </c>
      <c r="H25" s="30">
        <f t="shared" ref="H25" si="120">IFERROR(IF(T25="Error",0,ROUND(F25*G25,2)),0)</f>
        <v>0</v>
      </c>
      <c r="I25" s="28">
        <v>0</v>
      </c>
      <c r="J25" s="29">
        <f t="shared" ref="J25" si="121">IF(T25="Error",0,INDEX(Rates,MATCH(E25,CountryALL,0),MATCH($I$11,Category,0)))</f>
        <v>241</v>
      </c>
      <c r="K25" s="30">
        <f t="shared" ref="K25" si="122">IFERROR(IF(T25="Error",0,ROUND(I25*J25,2)),0)</f>
        <v>0</v>
      </c>
      <c r="L25" s="28">
        <v>0</v>
      </c>
      <c r="M25" s="29">
        <f t="shared" ref="M25" si="123">IF(T25="Error",0,INDEX(Rates,MATCH(E25,CountryALL,0),MATCH($L$11,Category,0)))</f>
        <v>190</v>
      </c>
      <c r="N25" s="30">
        <f t="shared" ref="N25" si="124">IFERROR(IF(T25="Error",0,ROUND(L25*M25,2)),0)</f>
        <v>0</v>
      </c>
      <c r="O25" s="28">
        <v>3</v>
      </c>
      <c r="P25" s="29">
        <f t="shared" ref="P25" si="125">IF(T25="Error",0,INDEX(Rates,MATCH(E25,CountryALL,0),MATCH($O$11,Category,0)))</f>
        <v>157</v>
      </c>
      <c r="Q25" s="30">
        <f t="shared" ref="Q25" si="126">IFERROR(IF(T25="Error",0,ROUND(O25*P25,2)),0)</f>
        <v>471</v>
      </c>
      <c r="R25" s="31">
        <f t="shared" ref="R25" si="127">IF(T25="Error",0,F25+I25+L25+O25)</f>
        <v>3</v>
      </c>
      <c r="S25" s="32">
        <f t="shared" ref="S25" si="128">IF(T25="Error",0,H25+K25+N25+Q25)</f>
        <v>471</v>
      </c>
      <c r="T25" s="33" t="str">
        <f t="shared" ref="T25" si="129">IF(OR(COUNTIF(WorkPackage,B25)=0,COUNTIF(PartnerN°,C25)=0,D25="",COUNTIF(CountryALL,E25)=0,ISNUMBER(F25)=FALSE,ISNUMBER(I25)=FALSE,ISNUMBER(L25)=FALSE,ISNUMBER(O25)=FALSE,IF(ISNUMBER(F25)=TRUE,F25=INT(F25*10)/10=FALSE),IF(ISNUMBER(I25)=TRUE,I25=INT(I25*10)/10=FALSE),IF(ISNUMBER(L25)=TRUE,L25=INT(L25*10)/10=FALSE),IF(ISNUMBER(O25)=TRUE,O25=INT(O25*10)/10=FALSE)),"Error","")</f>
        <v/>
      </c>
    </row>
    <row r="26" spans="2:20" s="34" customFormat="1" x14ac:dyDescent="0.4">
      <c r="B26" s="14" t="s">
        <v>173</v>
      </c>
      <c r="C26" s="19" t="s">
        <v>156</v>
      </c>
      <c r="D26" s="42" t="str">
        <f t="shared" ref="D26:D27" si="130">IFERROR(IF(VLOOKUP(C26,PartnerN°Ref,2,FALSE)=0,"",VLOOKUP(C26,PartnerN°Ref,2,FALSE)),"")</f>
        <v>Imperial College London</v>
      </c>
      <c r="E26" s="42" t="str">
        <f t="shared" ref="E26:E27" si="131">IFERROR(IF(OR(VLOOKUP(C26,PartnerN°Ref,4,FALSE)="Country not found",VLOOKUP(C26,PartnerN°Ref,3,FALSE)=0),"",VLOOKUP(C26,PartnerN°Ref,3,FALSE)),"")</f>
        <v>United Kingdom</v>
      </c>
      <c r="F26" s="28">
        <v>7</v>
      </c>
      <c r="G26" s="29">
        <f t="shared" ref="G26:G27" si="132">IF(T26="Error",0,INDEX(Rates,MATCH(E26,CountryALL,0),MATCH($F$11,Category,0)))</f>
        <v>280</v>
      </c>
      <c r="H26" s="30">
        <f t="shared" ref="H26:H27" si="133">IFERROR(IF(T26="Error",0,ROUND(F26*G26,2)),0)</f>
        <v>1960</v>
      </c>
      <c r="I26" s="28">
        <v>3</v>
      </c>
      <c r="J26" s="29">
        <f t="shared" ref="J26:J27" si="134">IF(T26="Error",0,INDEX(Rates,MATCH(E26,CountryALL,0),MATCH($I$11,Category,0)))</f>
        <v>214</v>
      </c>
      <c r="K26" s="30">
        <f t="shared" ref="K26:K27" si="135">IFERROR(IF(T26="Error",0,ROUND(I26*J26,2)),0)</f>
        <v>642</v>
      </c>
      <c r="L26" s="28">
        <v>0</v>
      </c>
      <c r="M26" s="29">
        <f t="shared" ref="M26:M27" si="136">IF(T26="Error",0,INDEX(Rates,MATCH(E26,CountryALL,0),MATCH($L$11,Category,0)))</f>
        <v>162</v>
      </c>
      <c r="N26" s="30">
        <f t="shared" ref="N26:N27" si="137">IFERROR(IF(T26="Error",0,ROUND(L26*M26,2)),0)</f>
        <v>0</v>
      </c>
      <c r="O26" s="28">
        <v>10</v>
      </c>
      <c r="P26" s="29">
        <f t="shared" ref="P26:P27" si="138">IF(T26="Error",0,INDEX(Rates,MATCH(E26,CountryALL,0),MATCH($O$11,Category,0)))</f>
        <v>131</v>
      </c>
      <c r="Q26" s="30">
        <f t="shared" ref="Q26:Q27" si="139">IFERROR(IF(T26="Error",0,ROUND(O26*P26,2)),0)</f>
        <v>1310</v>
      </c>
      <c r="R26" s="31">
        <f t="shared" ref="R26:R27" si="140">IF(T26="Error",0,F26+I26+L26+O26)</f>
        <v>20</v>
      </c>
      <c r="S26" s="32">
        <f t="shared" ref="S26:S27" si="141">IF(T26="Error",0,H26+K26+N26+Q26)</f>
        <v>3912</v>
      </c>
      <c r="T26" s="33" t="str">
        <f t="shared" ref="T26:T27" si="142">IF(OR(COUNTIF(WorkPackage,B26)=0,COUNTIF(PartnerN°,C26)=0,D26="",COUNTIF(CountryALL,E26)=0,ISNUMBER(F26)=FALSE,ISNUMBER(I26)=FALSE,ISNUMBER(L26)=FALSE,ISNUMBER(O26)=FALSE,IF(ISNUMBER(F26)=TRUE,F26=INT(F26*10)/10=FALSE),IF(ISNUMBER(I26)=TRUE,I26=INT(I26*10)/10=FALSE),IF(ISNUMBER(L26)=TRUE,L26=INT(L26*10)/10=FALSE),IF(ISNUMBER(O26)=TRUE,O26=INT(O26*10)/10=FALSE)),"Error","")</f>
        <v/>
      </c>
    </row>
    <row r="27" spans="2:20" s="34" customFormat="1" x14ac:dyDescent="0.4">
      <c r="B27" s="14" t="s">
        <v>173</v>
      </c>
      <c r="C27" s="19" t="s">
        <v>20</v>
      </c>
      <c r="D27" s="42" t="str">
        <f t="shared" si="130"/>
        <v>Startit Centar</v>
      </c>
      <c r="E27" s="42" t="str">
        <f t="shared" si="131"/>
        <v>Serbia</v>
      </c>
      <c r="F27" s="28">
        <v>0</v>
      </c>
      <c r="G27" s="29">
        <f t="shared" si="132"/>
        <v>88</v>
      </c>
      <c r="H27" s="30">
        <f t="shared" si="133"/>
        <v>0</v>
      </c>
      <c r="I27" s="28">
        <v>0</v>
      </c>
      <c r="J27" s="29">
        <f t="shared" si="134"/>
        <v>74</v>
      </c>
      <c r="K27" s="30">
        <f t="shared" si="135"/>
        <v>0</v>
      </c>
      <c r="L27" s="28">
        <v>0</v>
      </c>
      <c r="M27" s="29">
        <f t="shared" si="136"/>
        <v>55</v>
      </c>
      <c r="N27" s="30">
        <f t="shared" si="137"/>
        <v>0</v>
      </c>
      <c r="O27" s="28">
        <v>3</v>
      </c>
      <c r="P27" s="29">
        <f t="shared" si="138"/>
        <v>39</v>
      </c>
      <c r="Q27" s="30">
        <f t="shared" si="139"/>
        <v>117</v>
      </c>
      <c r="R27" s="31">
        <f t="shared" si="140"/>
        <v>3</v>
      </c>
      <c r="S27" s="32">
        <f t="shared" si="141"/>
        <v>117</v>
      </c>
      <c r="T27" s="33" t="str">
        <f t="shared" si="142"/>
        <v/>
      </c>
    </row>
    <row r="28" spans="2:20" s="34" customFormat="1" x14ac:dyDescent="0.4">
      <c r="B28" s="14" t="s">
        <v>173</v>
      </c>
      <c r="C28" s="19" t="s">
        <v>21</v>
      </c>
      <c r="D28" s="42" t="str">
        <f t="shared" ref="D28:D30" si="143">IFERROR(IF(VLOOKUP(C28,PartnerN°Ref,2,FALSE)=0,"",VLOOKUP(C28,PartnerN°Ref,2,FALSE)),"")</f>
        <v>The Alan Turing Institute</v>
      </c>
      <c r="E28" s="42" t="str">
        <f t="shared" ref="E28:E30" si="144">IFERROR(IF(OR(VLOOKUP(C28,PartnerN°Ref,4,FALSE)="Country not found",VLOOKUP(C28,PartnerN°Ref,3,FALSE)=0),"",VLOOKUP(C28,PartnerN°Ref,3,FALSE)),"")</f>
        <v>United Kingdom</v>
      </c>
      <c r="F28" s="28">
        <v>0</v>
      </c>
      <c r="G28" s="29">
        <f t="shared" ref="G28:G30" si="145">IF(T28="Error",0,INDEX(Rates,MATCH(E28,CountryALL,0),MATCH($F$11,Category,0)))</f>
        <v>280</v>
      </c>
      <c r="H28" s="30">
        <f t="shared" ref="H28:H30" si="146">IFERROR(IF(T28="Error",0,ROUND(F28*G28,2)),0)</f>
        <v>0</v>
      </c>
      <c r="I28" s="28">
        <v>0</v>
      </c>
      <c r="J28" s="29">
        <f t="shared" ref="J28:J30" si="147">IF(T28="Error",0,INDEX(Rates,MATCH(E28,CountryALL,0),MATCH($I$11,Category,0)))</f>
        <v>214</v>
      </c>
      <c r="K28" s="30">
        <f t="shared" ref="K28:K30" si="148">IFERROR(IF(T28="Error",0,ROUND(I28*J28,2)),0)</f>
        <v>0</v>
      </c>
      <c r="L28" s="28">
        <v>0</v>
      </c>
      <c r="M28" s="29">
        <f t="shared" ref="M28:M30" si="149">IF(T28="Error",0,INDEX(Rates,MATCH(E28,CountryALL,0),MATCH($L$11,Category,0)))</f>
        <v>162</v>
      </c>
      <c r="N28" s="30">
        <f t="shared" ref="N28:N30" si="150">IFERROR(IF(T28="Error",0,ROUND(L28*M28,2)),0)</f>
        <v>0</v>
      </c>
      <c r="O28" s="28">
        <v>3</v>
      </c>
      <c r="P28" s="29">
        <f t="shared" ref="P28:P30" si="151">IF(T28="Error",0,INDEX(Rates,MATCH(E28,CountryALL,0),MATCH($O$11,Category,0)))</f>
        <v>131</v>
      </c>
      <c r="Q28" s="30">
        <f t="shared" ref="Q28:Q30" si="152">IFERROR(IF(T28="Error",0,ROUND(O28*P28,2)),0)</f>
        <v>393</v>
      </c>
      <c r="R28" s="31">
        <f t="shared" ref="R28:R30" si="153">IF(T28="Error",0,F28+I28+L28+O28)</f>
        <v>3</v>
      </c>
      <c r="S28" s="32">
        <f t="shared" ref="S28:S30" si="154">IF(T28="Error",0,H28+K28+N28+Q28)</f>
        <v>393</v>
      </c>
      <c r="T28" s="33" t="str">
        <f t="shared" ref="T28:T30" si="155">IF(OR(COUNTIF(WorkPackage,B28)=0,COUNTIF(PartnerN°,C28)=0,D28="",COUNTIF(CountryALL,E28)=0,ISNUMBER(F28)=FALSE,ISNUMBER(I28)=FALSE,ISNUMBER(L28)=FALSE,ISNUMBER(O28)=FALSE,IF(ISNUMBER(F28)=TRUE,F28=INT(F28*10)/10=FALSE),IF(ISNUMBER(I28)=TRUE,I28=INT(I28*10)/10=FALSE),IF(ISNUMBER(L28)=TRUE,L28=INT(L28*10)/10=FALSE),IF(ISNUMBER(O28)=TRUE,O28=INT(O28*10)/10=FALSE)),"Error","")</f>
        <v/>
      </c>
    </row>
    <row r="29" spans="2:20" s="34" customFormat="1" x14ac:dyDescent="0.4">
      <c r="B29" s="14" t="s">
        <v>173</v>
      </c>
      <c r="C29" s="19" t="s">
        <v>22</v>
      </c>
      <c r="D29" s="42" t="str">
        <f t="shared" si="143"/>
        <v>Imec</v>
      </c>
      <c r="E29" s="42" t="str">
        <f t="shared" si="144"/>
        <v>Belgium</v>
      </c>
      <c r="F29" s="28">
        <v>7</v>
      </c>
      <c r="G29" s="29">
        <f t="shared" si="145"/>
        <v>280</v>
      </c>
      <c r="H29" s="30">
        <f t="shared" si="146"/>
        <v>1960</v>
      </c>
      <c r="I29" s="28">
        <v>3</v>
      </c>
      <c r="J29" s="29">
        <f t="shared" si="147"/>
        <v>214</v>
      </c>
      <c r="K29" s="30">
        <f t="shared" si="148"/>
        <v>642</v>
      </c>
      <c r="L29" s="28">
        <v>0</v>
      </c>
      <c r="M29" s="29">
        <f t="shared" si="149"/>
        <v>162</v>
      </c>
      <c r="N29" s="30">
        <f t="shared" si="150"/>
        <v>0</v>
      </c>
      <c r="O29" s="28">
        <v>10</v>
      </c>
      <c r="P29" s="29">
        <f t="shared" si="151"/>
        <v>131</v>
      </c>
      <c r="Q29" s="30">
        <f t="shared" si="152"/>
        <v>1310</v>
      </c>
      <c r="R29" s="31">
        <f t="shared" si="153"/>
        <v>20</v>
      </c>
      <c r="S29" s="32">
        <f t="shared" si="154"/>
        <v>3912</v>
      </c>
      <c r="T29" s="33" t="str">
        <f t="shared" si="155"/>
        <v/>
      </c>
    </row>
    <row r="30" spans="2:20" s="34" customFormat="1" x14ac:dyDescent="0.4">
      <c r="B30" s="14" t="s">
        <v>172</v>
      </c>
      <c r="C30" s="19" t="s">
        <v>8</v>
      </c>
      <c r="D30" s="42" t="str">
        <f t="shared" si="143"/>
        <v>MMADD</v>
      </c>
      <c r="E30" s="42" t="str">
        <f t="shared" si="144"/>
        <v>Serbia</v>
      </c>
      <c r="F30" s="28">
        <v>48</v>
      </c>
      <c r="G30" s="29">
        <f t="shared" si="145"/>
        <v>88</v>
      </c>
      <c r="H30" s="30">
        <f t="shared" si="146"/>
        <v>4224</v>
      </c>
      <c r="I30" s="28">
        <v>20</v>
      </c>
      <c r="J30" s="29">
        <f t="shared" si="147"/>
        <v>74</v>
      </c>
      <c r="K30" s="30">
        <f t="shared" si="148"/>
        <v>1480</v>
      </c>
      <c r="L30" s="28">
        <v>100</v>
      </c>
      <c r="M30" s="29">
        <f t="shared" si="149"/>
        <v>55</v>
      </c>
      <c r="N30" s="30">
        <f t="shared" si="150"/>
        <v>5500</v>
      </c>
      <c r="O30" s="28">
        <v>7</v>
      </c>
      <c r="P30" s="29">
        <f t="shared" si="151"/>
        <v>39</v>
      </c>
      <c r="Q30" s="30">
        <f t="shared" si="152"/>
        <v>273</v>
      </c>
      <c r="R30" s="31">
        <f t="shared" si="153"/>
        <v>175</v>
      </c>
      <c r="S30" s="32">
        <f t="shared" si="154"/>
        <v>11477</v>
      </c>
      <c r="T30" s="33" t="str">
        <f t="shared" si="155"/>
        <v/>
      </c>
    </row>
    <row r="31" spans="2:20" s="34" customFormat="1" x14ac:dyDescent="0.4">
      <c r="B31" s="14" t="s">
        <v>172</v>
      </c>
      <c r="C31" s="19" t="s">
        <v>9</v>
      </c>
      <c r="D31" s="42" t="str">
        <f t="shared" ref="D31:D46" si="156">IFERROR(IF(VLOOKUP(C31,PartnerN°Ref,2,FALSE)=0,"",VLOOKUP(C31,PartnerN°Ref,2,FALSE)),"")</f>
        <v xml:space="preserve">Univerzitet u Beogradu, Matematički fakultet </v>
      </c>
      <c r="E31" s="42" t="str">
        <f t="shared" ref="E31:E46" si="157">IFERROR(IF(OR(VLOOKUP(C31,PartnerN°Ref,4,FALSE)="Country not found",VLOOKUP(C31,PartnerN°Ref,3,FALSE)=0),"",VLOOKUP(C31,PartnerN°Ref,3,FALSE)),"")</f>
        <v>Serbia</v>
      </c>
      <c r="F31" s="28">
        <v>14</v>
      </c>
      <c r="G31" s="29">
        <f t="shared" ref="G31:G46" si="158">IF(T31="Error",0,INDEX(Rates,MATCH(E31,CountryALL,0),MATCH($F$11,Category,0)))</f>
        <v>88</v>
      </c>
      <c r="H31" s="30">
        <f t="shared" ref="H31:H46" si="159">IFERROR(IF(T31="Error",0,ROUND(F31*G31,2)),0)</f>
        <v>1232</v>
      </c>
      <c r="I31" s="28">
        <v>20</v>
      </c>
      <c r="J31" s="29">
        <f t="shared" ref="J31:J46" si="160">IF(T31="Error",0,INDEX(Rates,MATCH(E31,CountryALL,0),MATCH($I$11,Category,0)))</f>
        <v>74</v>
      </c>
      <c r="K31" s="30">
        <f t="shared" ref="K31:K46" si="161">IFERROR(IF(T31="Error",0,ROUND(I31*J31,2)),0)</f>
        <v>1480</v>
      </c>
      <c r="L31" s="28">
        <v>13</v>
      </c>
      <c r="M31" s="29">
        <f t="shared" ref="M31:M46" si="162">IF(T31="Error",0,INDEX(Rates,MATCH(E31,CountryALL,0),MATCH($L$11,Category,0)))</f>
        <v>55</v>
      </c>
      <c r="N31" s="30">
        <f t="shared" ref="N31:N46" si="163">IFERROR(IF(T31="Error",0,ROUND(L31*M31,2)),0)</f>
        <v>715</v>
      </c>
      <c r="O31" s="28">
        <v>10</v>
      </c>
      <c r="P31" s="29">
        <f t="shared" ref="P31:P46" si="164">IF(T31="Error",0,INDEX(Rates,MATCH(E31,CountryALL,0),MATCH($O$11,Category,0)))</f>
        <v>39</v>
      </c>
      <c r="Q31" s="30">
        <f t="shared" ref="Q31:Q46" si="165">IFERROR(IF(T31="Error",0,ROUND(O31*P31,2)),0)</f>
        <v>390</v>
      </c>
      <c r="R31" s="31">
        <f t="shared" ref="R31:R46" si="166">IF(T31="Error",0,F31+I31+L31+O31)</f>
        <v>57</v>
      </c>
      <c r="S31" s="32">
        <f t="shared" ref="S31:S46" si="167">IF(T31="Error",0,H31+K31+N31+Q31)</f>
        <v>3817</v>
      </c>
      <c r="T31" s="33" t="str">
        <f t="shared" ref="T31:T46" si="168">IF(OR(COUNTIF(WorkPackage,B31)=0,COUNTIF(PartnerN°,C31)=0,D31="",COUNTIF(CountryALL,E31)=0,ISNUMBER(F31)=FALSE,ISNUMBER(I31)=FALSE,ISNUMBER(L31)=FALSE,ISNUMBER(O31)=FALSE,IF(ISNUMBER(F31)=TRUE,F31=INT(F31*10)/10=FALSE),IF(ISNUMBER(I31)=TRUE,I31=INT(I31*10)/10=FALSE),IF(ISNUMBER(L31)=TRUE,L31=INT(L31*10)/10=FALSE),IF(ISNUMBER(O31)=TRUE,O31=INT(O31*10)/10=FALSE)),"Error","")</f>
        <v/>
      </c>
    </row>
    <row r="32" spans="2:20" s="34" customFormat="1" x14ac:dyDescent="0.4">
      <c r="B32" s="14" t="s">
        <v>172</v>
      </c>
      <c r="C32" s="19" t="s">
        <v>10</v>
      </c>
      <c r="D32" s="42" t="str">
        <f t="shared" si="156"/>
        <v>Central European University (CEU)</v>
      </c>
      <c r="E32" s="42" t="str">
        <f t="shared" si="157"/>
        <v>Hungary</v>
      </c>
      <c r="F32" s="28">
        <v>0</v>
      </c>
      <c r="G32" s="29">
        <f t="shared" si="158"/>
        <v>88</v>
      </c>
      <c r="H32" s="30">
        <f t="shared" si="159"/>
        <v>0</v>
      </c>
      <c r="I32" s="28">
        <v>14</v>
      </c>
      <c r="J32" s="29">
        <f t="shared" si="160"/>
        <v>74</v>
      </c>
      <c r="K32" s="30">
        <f t="shared" si="161"/>
        <v>1036</v>
      </c>
      <c r="L32" s="28">
        <v>0</v>
      </c>
      <c r="M32" s="29">
        <f t="shared" si="162"/>
        <v>55</v>
      </c>
      <c r="N32" s="30">
        <f t="shared" si="163"/>
        <v>0</v>
      </c>
      <c r="O32" s="28">
        <v>0</v>
      </c>
      <c r="P32" s="29">
        <f t="shared" si="164"/>
        <v>39</v>
      </c>
      <c r="Q32" s="30">
        <f t="shared" si="165"/>
        <v>0</v>
      </c>
      <c r="R32" s="31">
        <f t="shared" si="166"/>
        <v>14</v>
      </c>
      <c r="S32" s="32">
        <f t="shared" si="167"/>
        <v>1036</v>
      </c>
      <c r="T32" s="33" t="str">
        <f t="shared" si="168"/>
        <v/>
      </c>
    </row>
    <row r="33" spans="2:20" s="34" customFormat="1" x14ac:dyDescent="0.4">
      <c r="B33" s="14" t="s">
        <v>172</v>
      </c>
      <c r="C33" s="19" t="s">
        <v>11</v>
      </c>
      <c r="D33" s="42" t="str">
        <f t="shared" si="156"/>
        <v>Fakultet elektrotehnike i računarstva (FER)</v>
      </c>
      <c r="E33" s="42" t="str">
        <f t="shared" si="157"/>
        <v>Croatia</v>
      </c>
      <c r="F33" s="28">
        <v>30</v>
      </c>
      <c r="G33" s="29">
        <f t="shared" si="158"/>
        <v>88</v>
      </c>
      <c r="H33" s="30">
        <f t="shared" si="159"/>
        <v>2640</v>
      </c>
      <c r="I33" s="28">
        <v>45</v>
      </c>
      <c r="J33" s="29">
        <f t="shared" si="160"/>
        <v>74</v>
      </c>
      <c r="K33" s="30">
        <f t="shared" si="161"/>
        <v>3330</v>
      </c>
      <c r="L33" s="28">
        <v>35</v>
      </c>
      <c r="M33" s="29">
        <f t="shared" si="162"/>
        <v>55</v>
      </c>
      <c r="N33" s="30">
        <f t="shared" si="163"/>
        <v>1925</v>
      </c>
      <c r="O33" s="28">
        <v>0</v>
      </c>
      <c r="P33" s="29">
        <f t="shared" si="164"/>
        <v>39</v>
      </c>
      <c r="Q33" s="30">
        <f t="shared" si="165"/>
        <v>0</v>
      </c>
      <c r="R33" s="31">
        <f t="shared" si="166"/>
        <v>110</v>
      </c>
      <c r="S33" s="32">
        <f t="shared" si="167"/>
        <v>7895</v>
      </c>
      <c r="T33" s="33" t="str">
        <f t="shared" si="168"/>
        <v/>
      </c>
    </row>
    <row r="34" spans="2:20" s="34" customFormat="1" x14ac:dyDescent="0.4">
      <c r="B34" s="14" t="s">
        <v>172</v>
      </c>
      <c r="C34" s="19" t="s">
        <v>12</v>
      </c>
      <c r="D34" s="42" t="str">
        <f t="shared" si="156"/>
        <v>ICT Hub Beograd</v>
      </c>
      <c r="E34" s="42" t="str">
        <f t="shared" si="157"/>
        <v>Serbia</v>
      </c>
      <c r="F34" s="28">
        <v>13</v>
      </c>
      <c r="G34" s="29">
        <f t="shared" si="158"/>
        <v>88</v>
      </c>
      <c r="H34" s="30">
        <f t="shared" si="159"/>
        <v>1144</v>
      </c>
      <c r="I34" s="28">
        <v>21</v>
      </c>
      <c r="J34" s="29">
        <f t="shared" si="160"/>
        <v>74</v>
      </c>
      <c r="K34" s="30">
        <f t="shared" si="161"/>
        <v>1554</v>
      </c>
      <c r="L34" s="28">
        <v>15</v>
      </c>
      <c r="M34" s="29">
        <f t="shared" si="162"/>
        <v>55</v>
      </c>
      <c r="N34" s="30">
        <f t="shared" si="163"/>
        <v>825</v>
      </c>
      <c r="O34" s="28">
        <v>10</v>
      </c>
      <c r="P34" s="29">
        <f t="shared" si="164"/>
        <v>39</v>
      </c>
      <c r="Q34" s="30">
        <f t="shared" si="165"/>
        <v>390</v>
      </c>
      <c r="R34" s="31">
        <f t="shared" si="166"/>
        <v>59</v>
      </c>
      <c r="S34" s="32">
        <f t="shared" si="167"/>
        <v>3913</v>
      </c>
      <c r="T34" s="33" t="str">
        <f t="shared" si="168"/>
        <v/>
      </c>
    </row>
    <row r="35" spans="2:20" s="34" customFormat="1" x14ac:dyDescent="0.4">
      <c r="B35" s="14" t="s">
        <v>172</v>
      </c>
      <c r="C35" s="19" t="s">
        <v>13</v>
      </c>
      <c r="D35" s="42" t="str">
        <f t="shared" si="156"/>
        <v>University of Edinburgh</v>
      </c>
      <c r="E35" s="42" t="str">
        <f t="shared" si="157"/>
        <v>United Kingdom</v>
      </c>
      <c r="F35" s="28">
        <v>0</v>
      </c>
      <c r="G35" s="29">
        <f t="shared" si="158"/>
        <v>280</v>
      </c>
      <c r="H35" s="30">
        <f t="shared" si="159"/>
        <v>0</v>
      </c>
      <c r="I35" s="28">
        <v>15</v>
      </c>
      <c r="J35" s="29">
        <f t="shared" si="160"/>
        <v>214</v>
      </c>
      <c r="K35" s="30">
        <f t="shared" si="161"/>
        <v>3210</v>
      </c>
      <c r="L35" s="28">
        <v>0</v>
      </c>
      <c r="M35" s="29">
        <f t="shared" si="162"/>
        <v>162</v>
      </c>
      <c r="N35" s="30">
        <f t="shared" si="163"/>
        <v>0</v>
      </c>
      <c r="O35" s="28">
        <v>0</v>
      </c>
      <c r="P35" s="29">
        <f t="shared" si="164"/>
        <v>131</v>
      </c>
      <c r="Q35" s="30">
        <f t="shared" si="165"/>
        <v>0</v>
      </c>
      <c r="R35" s="31">
        <f t="shared" si="166"/>
        <v>15</v>
      </c>
      <c r="S35" s="32">
        <f t="shared" si="167"/>
        <v>3210</v>
      </c>
      <c r="T35" s="33" t="str">
        <f t="shared" si="168"/>
        <v/>
      </c>
    </row>
    <row r="36" spans="2:20" s="34" customFormat="1" x14ac:dyDescent="0.4">
      <c r="B36" s="14" t="s">
        <v>172</v>
      </c>
      <c r="C36" s="19" t="s">
        <v>14</v>
      </c>
      <c r="D36" s="42" t="str">
        <f t="shared" si="156"/>
        <v>Station F</v>
      </c>
      <c r="E36" s="42" t="str">
        <f t="shared" si="157"/>
        <v>France</v>
      </c>
      <c r="F36" s="28">
        <v>30</v>
      </c>
      <c r="G36" s="29">
        <f t="shared" si="158"/>
        <v>280</v>
      </c>
      <c r="H36" s="30">
        <f t="shared" si="159"/>
        <v>8400</v>
      </c>
      <c r="I36" s="28">
        <v>60</v>
      </c>
      <c r="J36" s="29">
        <f t="shared" si="160"/>
        <v>214</v>
      </c>
      <c r="K36" s="30">
        <f t="shared" si="161"/>
        <v>12840</v>
      </c>
      <c r="L36" s="28">
        <v>35</v>
      </c>
      <c r="M36" s="29">
        <f t="shared" si="162"/>
        <v>162</v>
      </c>
      <c r="N36" s="30">
        <f t="shared" si="163"/>
        <v>5670</v>
      </c>
      <c r="O36" s="28">
        <v>0</v>
      </c>
      <c r="P36" s="29">
        <f t="shared" si="164"/>
        <v>131</v>
      </c>
      <c r="Q36" s="30">
        <f t="shared" si="165"/>
        <v>0</v>
      </c>
      <c r="R36" s="31">
        <f t="shared" si="166"/>
        <v>125</v>
      </c>
      <c r="S36" s="32">
        <f t="shared" si="167"/>
        <v>26910</v>
      </c>
      <c r="T36" s="33" t="str">
        <f t="shared" si="168"/>
        <v/>
      </c>
    </row>
    <row r="37" spans="2:20" s="34" customFormat="1" x14ac:dyDescent="0.4">
      <c r="B37" s="14" t="s">
        <v>172</v>
      </c>
      <c r="C37" s="19" t="s">
        <v>15</v>
      </c>
      <c r="D37" s="42" t="str">
        <f t="shared" si="156"/>
        <v>Fakultet tehničkih nauka, Univerzitet u Novom Sadu</v>
      </c>
      <c r="E37" s="42" t="str">
        <f t="shared" si="157"/>
        <v>Serbia</v>
      </c>
      <c r="F37" s="28">
        <v>14</v>
      </c>
      <c r="G37" s="29">
        <f t="shared" si="158"/>
        <v>88</v>
      </c>
      <c r="H37" s="30">
        <f t="shared" si="159"/>
        <v>1232</v>
      </c>
      <c r="I37" s="28">
        <v>15</v>
      </c>
      <c r="J37" s="29">
        <f t="shared" si="160"/>
        <v>74</v>
      </c>
      <c r="K37" s="30">
        <f t="shared" si="161"/>
        <v>1110</v>
      </c>
      <c r="L37" s="28">
        <v>10</v>
      </c>
      <c r="M37" s="29">
        <f t="shared" si="162"/>
        <v>55</v>
      </c>
      <c r="N37" s="30">
        <f t="shared" si="163"/>
        <v>550</v>
      </c>
      <c r="O37" s="28">
        <v>10</v>
      </c>
      <c r="P37" s="29">
        <f t="shared" si="164"/>
        <v>39</v>
      </c>
      <c r="Q37" s="30">
        <f t="shared" si="165"/>
        <v>390</v>
      </c>
      <c r="R37" s="31">
        <f t="shared" si="166"/>
        <v>49</v>
      </c>
      <c r="S37" s="32">
        <f t="shared" si="167"/>
        <v>3282</v>
      </c>
      <c r="T37" s="33" t="str">
        <f t="shared" si="168"/>
        <v/>
      </c>
    </row>
    <row r="38" spans="2:20" s="34" customFormat="1" x14ac:dyDescent="0.4">
      <c r="B38" s="14" t="s">
        <v>172</v>
      </c>
      <c r="C38" s="19" t="s">
        <v>16</v>
      </c>
      <c r="D38" s="42" t="str">
        <f t="shared" si="156"/>
        <v>International Burch University</v>
      </c>
      <c r="E38" s="42" t="str">
        <f t="shared" si="157"/>
        <v>Bosnia and Herzegovina</v>
      </c>
      <c r="F38" s="28">
        <v>0</v>
      </c>
      <c r="G38" s="29">
        <f t="shared" si="158"/>
        <v>108</v>
      </c>
      <c r="H38" s="30">
        <f t="shared" si="159"/>
        <v>0</v>
      </c>
      <c r="I38" s="28">
        <v>15</v>
      </c>
      <c r="J38" s="29">
        <f t="shared" si="160"/>
        <v>80</v>
      </c>
      <c r="K38" s="30">
        <f t="shared" si="161"/>
        <v>1200</v>
      </c>
      <c r="L38" s="28">
        <v>0</v>
      </c>
      <c r="M38" s="29">
        <f t="shared" si="162"/>
        <v>57</v>
      </c>
      <c r="N38" s="30">
        <f t="shared" si="163"/>
        <v>0</v>
      </c>
      <c r="O38" s="28">
        <v>0</v>
      </c>
      <c r="P38" s="29">
        <f t="shared" si="164"/>
        <v>45</v>
      </c>
      <c r="Q38" s="30">
        <f t="shared" si="165"/>
        <v>0</v>
      </c>
      <c r="R38" s="31">
        <f t="shared" si="166"/>
        <v>15</v>
      </c>
      <c r="S38" s="32">
        <f t="shared" si="167"/>
        <v>1200</v>
      </c>
      <c r="T38" s="33" t="str">
        <f t="shared" si="168"/>
        <v/>
      </c>
    </row>
    <row r="39" spans="2:20" s="34" customFormat="1" x14ac:dyDescent="0.4">
      <c r="B39" s="14" t="s">
        <v>172</v>
      </c>
      <c r="C39" s="19" t="s">
        <v>17</v>
      </c>
      <c r="D39" s="42" t="str">
        <f t="shared" si="156"/>
        <v>Sorbonne Univerzitet</v>
      </c>
      <c r="E39" s="42" t="str">
        <f t="shared" si="157"/>
        <v>France</v>
      </c>
      <c r="F39" s="28">
        <v>30</v>
      </c>
      <c r="G39" s="29">
        <f t="shared" si="158"/>
        <v>280</v>
      </c>
      <c r="H39" s="30">
        <f t="shared" si="159"/>
        <v>8400</v>
      </c>
      <c r="I39" s="28">
        <v>50</v>
      </c>
      <c r="J39" s="29">
        <f t="shared" si="160"/>
        <v>214</v>
      </c>
      <c r="K39" s="30">
        <f t="shared" si="161"/>
        <v>10700</v>
      </c>
      <c r="L39" s="28">
        <v>35</v>
      </c>
      <c r="M39" s="29">
        <f t="shared" si="162"/>
        <v>162</v>
      </c>
      <c r="N39" s="30">
        <f t="shared" si="163"/>
        <v>5670</v>
      </c>
      <c r="O39" s="28">
        <v>0</v>
      </c>
      <c r="P39" s="29">
        <f t="shared" si="164"/>
        <v>131</v>
      </c>
      <c r="Q39" s="30">
        <f t="shared" si="165"/>
        <v>0</v>
      </c>
      <c r="R39" s="31">
        <f t="shared" si="166"/>
        <v>115</v>
      </c>
      <c r="S39" s="32">
        <f t="shared" si="167"/>
        <v>24770</v>
      </c>
      <c r="T39" s="33" t="str">
        <f t="shared" si="168"/>
        <v/>
      </c>
    </row>
    <row r="40" spans="2:20" s="34" customFormat="1" x14ac:dyDescent="0.4">
      <c r="B40" s="14" t="s">
        <v>172</v>
      </c>
      <c r="C40" s="19" t="s">
        <v>18</v>
      </c>
      <c r="D40" s="42" t="str">
        <f t="shared" si="156"/>
        <v>Univerzitet u Nišu, Elektronski fakultet</v>
      </c>
      <c r="E40" s="42" t="str">
        <f t="shared" si="157"/>
        <v>Serbia</v>
      </c>
      <c r="F40" s="28">
        <v>12</v>
      </c>
      <c r="G40" s="29">
        <f t="shared" si="158"/>
        <v>88</v>
      </c>
      <c r="H40" s="30">
        <f t="shared" si="159"/>
        <v>1056</v>
      </c>
      <c r="I40" s="28">
        <v>18</v>
      </c>
      <c r="J40" s="29">
        <f t="shared" si="160"/>
        <v>74</v>
      </c>
      <c r="K40" s="30">
        <f t="shared" si="161"/>
        <v>1332</v>
      </c>
      <c r="L40" s="28">
        <v>13</v>
      </c>
      <c r="M40" s="29">
        <f t="shared" si="162"/>
        <v>55</v>
      </c>
      <c r="N40" s="30">
        <f t="shared" si="163"/>
        <v>715</v>
      </c>
      <c r="O40" s="28">
        <v>12</v>
      </c>
      <c r="P40" s="29">
        <f t="shared" si="164"/>
        <v>39</v>
      </c>
      <c r="Q40" s="30">
        <f t="shared" si="165"/>
        <v>468</v>
      </c>
      <c r="R40" s="31">
        <f t="shared" si="166"/>
        <v>55</v>
      </c>
      <c r="S40" s="32">
        <f t="shared" si="167"/>
        <v>3571</v>
      </c>
      <c r="T40" s="33" t="str">
        <f t="shared" si="168"/>
        <v/>
      </c>
    </row>
    <row r="41" spans="2:20" s="34" customFormat="1" x14ac:dyDescent="0.4">
      <c r="B41" s="14" t="s">
        <v>172</v>
      </c>
      <c r="C41" s="19" t="s">
        <v>19</v>
      </c>
      <c r="D41" s="42" t="str">
        <f t="shared" si="156"/>
        <v>IT University of Copenhagen</v>
      </c>
      <c r="E41" s="42" t="str">
        <f t="shared" si="157"/>
        <v>Denmark</v>
      </c>
      <c r="F41" s="28">
        <v>14</v>
      </c>
      <c r="G41" s="29">
        <f t="shared" si="158"/>
        <v>294</v>
      </c>
      <c r="H41" s="30">
        <f t="shared" si="159"/>
        <v>4116</v>
      </c>
      <c r="I41" s="28">
        <v>0</v>
      </c>
      <c r="J41" s="29">
        <f t="shared" si="160"/>
        <v>241</v>
      </c>
      <c r="K41" s="30">
        <f t="shared" si="161"/>
        <v>0</v>
      </c>
      <c r="L41" s="28">
        <v>0</v>
      </c>
      <c r="M41" s="29">
        <f t="shared" si="162"/>
        <v>190</v>
      </c>
      <c r="N41" s="30">
        <f t="shared" si="163"/>
        <v>0</v>
      </c>
      <c r="O41" s="28">
        <v>7</v>
      </c>
      <c r="P41" s="29">
        <f t="shared" si="164"/>
        <v>157</v>
      </c>
      <c r="Q41" s="30">
        <f t="shared" si="165"/>
        <v>1099</v>
      </c>
      <c r="R41" s="31">
        <f t="shared" si="166"/>
        <v>21</v>
      </c>
      <c r="S41" s="32">
        <f t="shared" si="167"/>
        <v>5215</v>
      </c>
      <c r="T41" s="33" t="str">
        <f t="shared" si="168"/>
        <v/>
      </c>
    </row>
    <row r="42" spans="2:20" s="34" customFormat="1" x14ac:dyDescent="0.4">
      <c r="B42" s="14" t="s">
        <v>172</v>
      </c>
      <c r="C42" s="19" t="s">
        <v>156</v>
      </c>
      <c r="D42" s="42" t="str">
        <f t="shared" si="156"/>
        <v>Imperial College London</v>
      </c>
      <c r="E42" s="42" t="str">
        <f t="shared" si="157"/>
        <v>United Kingdom</v>
      </c>
      <c r="F42" s="28">
        <v>30</v>
      </c>
      <c r="G42" s="29">
        <f t="shared" si="158"/>
        <v>280</v>
      </c>
      <c r="H42" s="30">
        <f t="shared" si="159"/>
        <v>8400</v>
      </c>
      <c r="I42" s="28">
        <v>38</v>
      </c>
      <c r="J42" s="29">
        <f t="shared" si="160"/>
        <v>214</v>
      </c>
      <c r="K42" s="30">
        <f t="shared" si="161"/>
        <v>8132</v>
      </c>
      <c r="L42" s="28">
        <v>35</v>
      </c>
      <c r="M42" s="29">
        <f t="shared" si="162"/>
        <v>162</v>
      </c>
      <c r="N42" s="30">
        <f t="shared" si="163"/>
        <v>5670</v>
      </c>
      <c r="O42" s="28">
        <v>0</v>
      </c>
      <c r="P42" s="29">
        <f t="shared" si="164"/>
        <v>131</v>
      </c>
      <c r="Q42" s="30">
        <f t="shared" si="165"/>
        <v>0</v>
      </c>
      <c r="R42" s="31">
        <f t="shared" si="166"/>
        <v>103</v>
      </c>
      <c r="S42" s="32">
        <f t="shared" si="167"/>
        <v>22202</v>
      </c>
      <c r="T42" s="33" t="str">
        <f t="shared" si="168"/>
        <v/>
      </c>
    </row>
    <row r="43" spans="2:20" s="34" customFormat="1" x14ac:dyDescent="0.4">
      <c r="B43" s="14" t="s">
        <v>172</v>
      </c>
      <c r="C43" s="19" t="s">
        <v>20</v>
      </c>
      <c r="D43" s="42" t="str">
        <f t="shared" si="156"/>
        <v>Startit Centar</v>
      </c>
      <c r="E43" s="42" t="str">
        <f t="shared" si="157"/>
        <v>Serbia</v>
      </c>
      <c r="F43" s="28">
        <v>12</v>
      </c>
      <c r="G43" s="29">
        <f t="shared" si="158"/>
        <v>88</v>
      </c>
      <c r="H43" s="30">
        <f t="shared" si="159"/>
        <v>1056</v>
      </c>
      <c r="I43" s="28">
        <v>18</v>
      </c>
      <c r="J43" s="29">
        <f t="shared" si="160"/>
        <v>74</v>
      </c>
      <c r="K43" s="30">
        <f t="shared" si="161"/>
        <v>1332</v>
      </c>
      <c r="L43" s="28">
        <v>14</v>
      </c>
      <c r="M43" s="29">
        <f t="shared" si="162"/>
        <v>55</v>
      </c>
      <c r="N43" s="30">
        <f t="shared" si="163"/>
        <v>770</v>
      </c>
      <c r="O43" s="28">
        <v>12</v>
      </c>
      <c r="P43" s="29">
        <f t="shared" si="164"/>
        <v>39</v>
      </c>
      <c r="Q43" s="30">
        <f t="shared" si="165"/>
        <v>468</v>
      </c>
      <c r="R43" s="31">
        <f t="shared" si="166"/>
        <v>56</v>
      </c>
      <c r="S43" s="32">
        <f t="shared" si="167"/>
        <v>3626</v>
      </c>
      <c r="T43" s="33" t="str">
        <f t="shared" si="168"/>
        <v/>
      </c>
    </row>
    <row r="44" spans="2:20" s="34" customFormat="1" x14ac:dyDescent="0.4">
      <c r="B44" s="14" t="s">
        <v>172</v>
      </c>
      <c r="C44" s="19" t="s">
        <v>21</v>
      </c>
      <c r="D44" s="42" t="str">
        <f t="shared" si="156"/>
        <v>The Alan Turing Institute</v>
      </c>
      <c r="E44" s="42" t="str">
        <f t="shared" si="157"/>
        <v>United Kingdom</v>
      </c>
      <c r="F44" s="28">
        <v>14</v>
      </c>
      <c r="G44" s="29">
        <f t="shared" si="158"/>
        <v>280</v>
      </c>
      <c r="H44" s="30">
        <f t="shared" si="159"/>
        <v>3920</v>
      </c>
      <c r="I44" s="28">
        <v>0</v>
      </c>
      <c r="J44" s="29">
        <f t="shared" si="160"/>
        <v>214</v>
      </c>
      <c r="K44" s="30">
        <f t="shared" si="161"/>
        <v>0</v>
      </c>
      <c r="L44" s="28">
        <v>0</v>
      </c>
      <c r="M44" s="29">
        <f t="shared" si="162"/>
        <v>162</v>
      </c>
      <c r="N44" s="30">
        <f t="shared" si="163"/>
        <v>0</v>
      </c>
      <c r="O44" s="28">
        <v>7</v>
      </c>
      <c r="P44" s="29">
        <f t="shared" si="164"/>
        <v>131</v>
      </c>
      <c r="Q44" s="30">
        <f t="shared" si="165"/>
        <v>917</v>
      </c>
      <c r="R44" s="31">
        <f t="shared" si="166"/>
        <v>21</v>
      </c>
      <c r="S44" s="32">
        <f t="shared" si="167"/>
        <v>4837</v>
      </c>
      <c r="T44" s="33" t="str">
        <f t="shared" si="168"/>
        <v/>
      </c>
    </row>
    <row r="45" spans="2:20" s="34" customFormat="1" x14ac:dyDescent="0.4">
      <c r="B45" s="14" t="s">
        <v>172</v>
      </c>
      <c r="C45" s="19" t="s">
        <v>22</v>
      </c>
      <c r="D45" s="42" t="str">
        <f t="shared" si="156"/>
        <v>Imec</v>
      </c>
      <c r="E45" s="42" t="str">
        <f t="shared" si="157"/>
        <v>Belgium</v>
      </c>
      <c r="F45" s="28">
        <v>30</v>
      </c>
      <c r="G45" s="29">
        <f t="shared" si="158"/>
        <v>280</v>
      </c>
      <c r="H45" s="30">
        <f t="shared" si="159"/>
        <v>8400</v>
      </c>
      <c r="I45" s="28">
        <v>35</v>
      </c>
      <c r="J45" s="29">
        <f t="shared" si="160"/>
        <v>214</v>
      </c>
      <c r="K45" s="30">
        <f t="shared" si="161"/>
        <v>7490</v>
      </c>
      <c r="L45" s="28">
        <v>30</v>
      </c>
      <c r="M45" s="29">
        <f t="shared" si="162"/>
        <v>162</v>
      </c>
      <c r="N45" s="30">
        <f t="shared" si="163"/>
        <v>4860</v>
      </c>
      <c r="O45" s="28">
        <v>0</v>
      </c>
      <c r="P45" s="29">
        <f t="shared" si="164"/>
        <v>131</v>
      </c>
      <c r="Q45" s="30">
        <f t="shared" si="165"/>
        <v>0</v>
      </c>
      <c r="R45" s="31">
        <f t="shared" si="166"/>
        <v>95</v>
      </c>
      <c r="S45" s="32">
        <f t="shared" si="167"/>
        <v>20750</v>
      </c>
      <c r="T45" s="33" t="str">
        <f t="shared" si="168"/>
        <v/>
      </c>
    </row>
    <row r="46" spans="2:20" s="34" customFormat="1" x14ac:dyDescent="0.4">
      <c r="B46" s="14" t="s">
        <v>319</v>
      </c>
      <c r="C46" s="19" t="s">
        <v>8</v>
      </c>
      <c r="D46" s="42" t="str">
        <f t="shared" si="156"/>
        <v>MMADD</v>
      </c>
      <c r="E46" s="42" t="str">
        <f t="shared" si="157"/>
        <v>Serbia</v>
      </c>
      <c r="F46" s="28">
        <v>0</v>
      </c>
      <c r="G46" s="29">
        <f t="shared" si="158"/>
        <v>88</v>
      </c>
      <c r="H46" s="30">
        <f t="shared" si="159"/>
        <v>0</v>
      </c>
      <c r="I46" s="28">
        <v>0</v>
      </c>
      <c r="J46" s="29">
        <f t="shared" si="160"/>
        <v>74</v>
      </c>
      <c r="K46" s="30">
        <f t="shared" si="161"/>
        <v>0</v>
      </c>
      <c r="L46" s="28">
        <v>20</v>
      </c>
      <c r="M46" s="29">
        <f t="shared" si="162"/>
        <v>55</v>
      </c>
      <c r="N46" s="30">
        <f t="shared" si="163"/>
        <v>1100</v>
      </c>
      <c r="O46" s="28">
        <v>0</v>
      </c>
      <c r="P46" s="29">
        <f t="shared" si="164"/>
        <v>39</v>
      </c>
      <c r="Q46" s="30">
        <f t="shared" si="165"/>
        <v>0</v>
      </c>
      <c r="R46" s="31">
        <f t="shared" si="166"/>
        <v>20</v>
      </c>
      <c r="S46" s="32">
        <f t="shared" si="167"/>
        <v>1100</v>
      </c>
      <c r="T46" s="33" t="str">
        <f t="shared" si="168"/>
        <v/>
      </c>
    </row>
    <row r="47" spans="2:20" s="34" customFormat="1" x14ac:dyDescent="0.4">
      <c r="B47" s="14" t="s">
        <v>319</v>
      </c>
      <c r="C47" s="19" t="s">
        <v>12</v>
      </c>
      <c r="D47" s="42" t="str">
        <f t="shared" ref="D47:D52" si="169">IFERROR(IF(VLOOKUP(C47,PartnerN°Ref,2,FALSE)=0,"",VLOOKUP(C47,PartnerN°Ref,2,FALSE)),"")</f>
        <v>ICT Hub Beograd</v>
      </c>
      <c r="E47" s="42" t="str">
        <f t="shared" ref="E47:E52" si="170">IFERROR(IF(OR(VLOOKUP(C47,PartnerN°Ref,4,FALSE)="Country not found",VLOOKUP(C47,PartnerN°Ref,3,FALSE)=0),"",VLOOKUP(C47,PartnerN°Ref,3,FALSE)),"")</f>
        <v>Serbia</v>
      </c>
      <c r="F47" s="28">
        <v>0</v>
      </c>
      <c r="G47" s="29">
        <f t="shared" ref="G47:G52" si="171">IF(T47="Error",0,INDEX(Rates,MATCH(E47,CountryALL,0),MATCH($F$11,Category,0)))</f>
        <v>88</v>
      </c>
      <c r="H47" s="30">
        <f t="shared" ref="H47:H52" si="172">IFERROR(IF(T47="Error",0,ROUND(F47*G47,2)),0)</f>
        <v>0</v>
      </c>
      <c r="I47" s="28">
        <v>75</v>
      </c>
      <c r="J47" s="29">
        <f t="shared" ref="J47:J52" si="173">IF(T47="Error",0,INDEX(Rates,MATCH(E47,CountryALL,0),MATCH($I$11,Category,0)))</f>
        <v>74</v>
      </c>
      <c r="K47" s="30">
        <f t="shared" ref="K47:K52" si="174">IFERROR(IF(T47="Error",0,ROUND(I47*J47,2)),0)</f>
        <v>5550</v>
      </c>
      <c r="L47" s="28">
        <v>0</v>
      </c>
      <c r="M47" s="29">
        <f t="shared" ref="M47:M52" si="175">IF(T47="Error",0,INDEX(Rates,MATCH(E47,CountryALL,0),MATCH($L$11,Category,0)))</f>
        <v>55</v>
      </c>
      <c r="N47" s="30">
        <f t="shared" ref="N47:N52" si="176">IFERROR(IF(T47="Error",0,ROUND(L47*M47,2)),0)</f>
        <v>0</v>
      </c>
      <c r="O47" s="28">
        <v>0</v>
      </c>
      <c r="P47" s="29">
        <f t="shared" ref="P47:P52" si="177">IF(T47="Error",0,INDEX(Rates,MATCH(E47,CountryALL,0),MATCH($O$11,Category,0)))</f>
        <v>39</v>
      </c>
      <c r="Q47" s="30">
        <f t="shared" ref="Q47:Q52" si="178">IFERROR(IF(T47="Error",0,ROUND(O47*P47,2)),0)</f>
        <v>0</v>
      </c>
      <c r="R47" s="31">
        <f t="shared" ref="R47:R52" si="179">IF(T47="Error",0,F47+I47+L47+O47)</f>
        <v>75</v>
      </c>
      <c r="S47" s="32">
        <f t="shared" ref="S47:S52" si="180">IF(T47="Error",0,H47+K47+N47+Q47)</f>
        <v>5550</v>
      </c>
      <c r="T47" s="33" t="str">
        <f t="shared" ref="T47:T52" si="181">IF(OR(COUNTIF(WorkPackage,B47)=0,COUNTIF(PartnerN°,C47)=0,D47="",COUNTIF(CountryALL,E47)=0,ISNUMBER(F47)=FALSE,ISNUMBER(I47)=FALSE,ISNUMBER(L47)=FALSE,ISNUMBER(O47)=FALSE,IF(ISNUMBER(F47)=TRUE,F47=INT(F47*10)/10=FALSE),IF(ISNUMBER(I47)=TRUE,I47=INT(I47*10)/10=FALSE),IF(ISNUMBER(L47)=TRUE,L47=INT(L47*10)/10=FALSE),IF(ISNUMBER(O47)=TRUE,O47=INT(O47*10)/10=FALSE)),"Error","")</f>
        <v/>
      </c>
    </row>
    <row r="48" spans="2:20" s="34" customFormat="1" x14ac:dyDescent="0.4">
      <c r="B48" s="14" t="s">
        <v>318</v>
      </c>
      <c r="C48" s="19" t="s">
        <v>11</v>
      </c>
      <c r="D48" s="42" t="str">
        <f t="shared" si="169"/>
        <v>Fakultet elektrotehnike i računarstva (FER)</v>
      </c>
      <c r="E48" s="42" t="str">
        <f t="shared" si="170"/>
        <v>Croatia</v>
      </c>
      <c r="F48" s="28">
        <v>90</v>
      </c>
      <c r="G48" s="29">
        <f t="shared" si="171"/>
        <v>88</v>
      </c>
      <c r="H48" s="30">
        <f t="shared" si="172"/>
        <v>7920</v>
      </c>
      <c r="I48" s="28">
        <v>0</v>
      </c>
      <c r="J48" s="29">
        <f t="shared" si="173"/>
        <v>74</v>
      </c>
      <c r="K48" s="30">
        <f t="shared" si="174"/>
        <v>0</v>
      </c>
      <c r="L48" s="28">
        <v>0</v>
      </c>
      <c r="M48" s="29">
        <f t="shared" si="175"/>
        <v>55</v>
      </c>
      <c r="N48" s="30">
        <f t="shared" si="176"/>
        <v>0</v>
      </c>
      <c r="O48" s="28">
        <v>0</v>
      </c>
      <c r="P48" s="29">
        <f t="shared" si="177"/>
        <v>39</v>
      </c>
      <c r="Q48" s="30">
        <f t="shared" si="178"/>
        <v>0</v>
      </c>
      <c r="R48" s="31">
        <f t="shared" si="179"/>
        <v>90</v>
      </c>
      <c r="S48" s="32">
        <f t="shared" si="180"/>
        <v>7920</v>
      </c>
      <c r="T48" s="33" t="str">
        <f t="shared" si="181"/>
        <v/>
      </c>
    </row>
    <row r="49" spans="2:20" s="34" customFormat="1" x14ac:dyDescent="0.4">
      <c r="B49" s="14" t="s">
        <v>318</v>
      </c>
      <c r="C49" s="19" t="s">
        <v>14</v>
      </c>
      <c r="D49" s="42" t="str">
        <f t="shared" si="169"/>
        <v>Station F</v>
      </c>
      <c r="E49" s="42" t="str">
        <f t="shared" si="170"/>
        <v>France</v>
      </c>
      <c r="F49" s="28">
        <v>90</v>
      </c>
      <c r="G49" s="29">
        <f t="shared" si="171"/>
        <v>280</v>
      </c>
      <c r="H49" s="30">
        <f t="shared" si="172"/>
        <v>25200</v>
      </c>
      <c r="I49" s="28">
        <v>0</v>
      </c>
      <c r="J49" s="29">
        <f t="shared" si="173"/>
        <v>214</v>
      </c>
      <c r="K49" s="30">
        <f t="shared" si="174"/>
        <v>0</v>
      </c>
      <c r="L49" s="28">
        <v>0</v>
      </c>
      <c r="M49" s="29">
        <f t="shared" si="175"/>
        <v>162</v>
      </c>
      <c r="N49" s="30">
        <f t="shared" si="176"/>
        <v>0</v>
      </c>
      <c r="O49" s="28">
        <v>0</v>
      </c>
      <c r="P49" s="29">
        <f t="shared" si="177"/>
        <v>131</v>
      </c>
      <c r="Q49" s="30">
        <f t="shared" si="178"/>
        <v>0</v>
      </c>
      <c r="R49" s="31">
        <f t="shared" si="179"/>
        <v>90</v>
      </c>
      <c r="S49" s="32">
        <f t="shared" si="180"/>
        <v>25200</v>
      </c>
      <c r="T49" s="33" t="str">
        <f t="shared" si="181"/>
        <v/>
      </c>
    </row>
    <row r="50" spans="2:20" s="34" customFormat="1" x14ac:dyDescent="0.4">
      <c r="B50" s="14" t="s">
        <v>318</v>
      </c>
      <c r="C50" s="19" t="s">
        <v>17</v>
      </c>
      <c r="D50" s="42" t="str">
        <f t="shared" si="169"/>
        <v>Sorbonne Univerzitet</v>
      </c>
      <c r="E50" s="42" t="str">
        <f t="shared" si="170"/>
        <v>France</v>
      </c>
      <c r="F50" s="28">
        <v>90</v>
      </c>
      <c r="G50" s="29">
        <f t="shared" si="171"/>
        <v>280</v>
      </c>
      <c r="H50" s="30">
        <f t="shared" si="172"/>
        <v>25200</v>
      </c>
      <c r="I50" s="28">
        <v>0</v>
      </c>
      <c r="J50" s="29">
        <f t="shared" si="173"/>
        <v>214</v>
      </c>
      <c r="K50" s="30">
        <f t="shared" si="174"/>
        <v>0</v>
      </c>
      <c r="L50" s="28">
        <v>0</v>
      </c>
      <c r="M50" s="29">
        <f t="shared" si="175"/>
        <v>162</v>
      </c>
      <c r="N50" s="30">
        <f t="shared" si="176"/>
        <v>0</v>
      </c>
      <c r="O50" s="28">
        <v>0</v>
      </c>
      <c r="P50" s="29">
        <f t="shared" si="177"/>
        <v>131</v>
      </c>
      <c r="Q50" s="30">
        <f t="shared" si="178"/>
        <v>0</v>
      </c>
      <c r="R50" s="31">
        <f t="shared" si="179"/>
        <v>90</v>
      </c>
      <c r="S50" s="32">
        <f t="shared" si="180"/>
        <v>25200</v>
      </c>
      <c r="T50" s="33" t="str">
        <f t="shared" si="181"/>
        <v/>
      </c>
    </row>
    <row r="51" spans="2:20" s="34" customFormat="1" x14ac:dyDescent="0.4">
      <c r="B51" s="14" t="s">
        <v>318</v>
      </c>
      <c r="C51" s="19" t="s">
        <v>156</v>
      </c>
      <c r="D51" s="42" t="str">
        <f t="shared" si="169"/>
        <v>Imperial College London</v>
      </c>
      <c r="E51" s="42" t="str">
        <f t="shared" si="170"/>
        <v>United Kingdom</v>
      </c>
      <c r="F51" s="28">
        <v>97</v>
      </c>
      <c r="G51" s="29">
        <f t="shared" si="171"/>
        <v>280</v>
      </c>
      <c r="H51" s="30">
        <f t="shared" si="172"/>
        <v>27160</v>
      </c>
      <c r="I51" s="28">
        <v>54</v>
      </c>
      <c r="J51" s="29">
        <f t="shared" si="173"/>
        <v>214</v>
      </c>
      <c r="K51" s="30">
        <f t="shared" si="174"/>
        <v>11556</v>
      </c>
      <c r="L51" s="28">
        <v>0</v>
      </c>
      <c r="M51" s="29">
        <f t="shared" si="175"/>
        <v>162</v>
      </c>
      <c r="N51" s="30">
        <f t="shared" si="176"/>
        <v>0</v>
      </c>
      <c r="O51" s="28">
        <v>0</v>
      </c>
      <c r="P51" s="29">
        <f t="shared" si="177"/>
        <v>131</v>
      </c>
      <c r="Q51" s="30">
        <f t="shared" si="178"/>
        <v>0</v>
      </c>
      <c r="R51" s="31">
        <f t="shared" si="179"/>
        <v>151</v>
      </c>
      <c r="S51" s="32">
        <f t="shared" si="180"/>
        <v>38716</v>
      </c>
      <c r="T51" s="33" t="str">
        <f t="shared" si="181"/>
        <v/>
      </c>
    </row>
    <row r="52" spans="2:20" s="34" customFormat="1" x14ac:dyDescent="0.4">
      <c r="B52" s="14" t="s">
        <v>318</v>
      </c>
      <c r="C52" s="19" t="s">
        <v>22</v>
      </c>
      <c r="D52" s="42" t="str">
        <f t="shared" si="169"/>
        <v>Imec</v>
      </c>
      <c r="E52" s="42" t="str">
        <f t="shared" si="170"/>
        <v>Belgium</v>
      </c>
      <c r="F52" s="28">
        <v>90</v>
      </c>
      <c r="G52" s="29">
        <f t="shared" si="171"/>
        <v>280</v>
      </c>
      <c r="H52" s="30">
        <f t="shared" si="172"/>
        <v>25200</v>
      </c>
      <c r="I52" s="28">
        <v>0</v>
      </c>
      <c r="J52" s="29">
        <f t="shared" si="173"/>
        <v>214</v>
      </c>
      <c r="K52" s="30">
        <f t="shared" si="174"/>
        <v>0</v>
      </c>
      <c r="L52" s="28">
        <v>0</v>
      </c>
      <c r="M52" s="29">
        <f t="shared" si="175"/>
        <v>162</v>
      </c>
      <c r="N52" s="30">
        <f t="shared" si="176"/>
        <v>0</v>
      </c>
      <c r="O52" s="28">
        <v>0</v>
      </c>
      <c r="P52" s="29">
        <f t="shared" si="177"/>
        <v>131</v>
      </c>
      <c r="Q52" s="30">
        <f t="shared" si="178"/>
        <v>0</v>
      </c>
      <c r="R52" s="31">
        <f t="shared" si="179"/>
        <v>90</v>
      </c>
      <c r="S52" s="32">
        <f t="shared" si="180"/>
        <v>25200</v>
      </c>
      <c r="T52" s="33" t="str">
        <f t="shared" si="181"/>
        <v/>
      </c>
    </row>
  </sheetData>
  <sheetProtection algorithmName="SHA-512" hashValue="xdeG71wk2gIz7O18PXV5rOVoQIQZHbp83BVjXniLKKkKn8qnAZ02tdrQKlIMg5yTWuP2BVWwp2EAWbGQszbApg==" saltValue="7+cK6xF46R623a4QEtIZaQ=="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52">
    <cfRule type="containsText" dxfId="106" priority="947" operator="containsText" text="Error">
      <formula>NOT(ISERROR(SEARCH("Error",T13)))</formula>
    </cfRule>
  </conditionalFormatting>
  <conditionalFormatting sqref="D13:E52">
    <cfRule type="containsBlanks" dxfId="105" priority="943">
      <formula>LEN(TRIM(D13))=0</formula>
    </cfRule>
  </conditionalFormatting>
  <conditionalFormatting sqref="F14:F15 I14:I15 L14:L15 O14:O15">
    <cfRule type="expression" dxfId="104" priority="314">
      <formula>ISNUMBER(F14)=FALSE</formula>
    </cfRule>
  </conditionalFormatting>
  <conditionalFormatting sqref="F13 I13 L13 O13">
    <cfRule type="expression" dxfId="103" priority="313">
      <formula>ISNUMBER(F13)=FALSE</formula>
    </cfRule>
  </conditionalFormatting>
  <conditionalFormatting sqref="B13:C13">
    <cfRule type="containsBlanks" dxfId="102" priority="306">
      <formula>LEN(TRIM(B13))=0</formula>
    </cfRule>
  </conditionalFormatting>
  <conditionalFormatting sqref="B14:C15">
    <cfRule type="containsBlanks" dxfId="101" priority="305">
      <formula>LEN(TRIM(B14))=0</formula>
    </cfRule>
  </conditionalFormatting>
  <conditionalFormatting sqref="O16:O29 L16:L29 I16:I29 F16:F29">
    <cfRule type="expression" dxfId="100" priority="18">
      <formula>ISNUMBER(F16)=FALSE</formula>
    </cfRule>
  </conditionalFormatting>
  <conditionalFormatting sqref="B16:C29">
    <cfRule type="containsBlanks" dxfId="99" priority="17">
      <formula>LEN(TRIM(B16))=0</formula>
    </cfRule>
  </conditionalFormatting>
  <conditionalFormatting sqref="F30:F45 I30:I45 L30:L45 O30:O45">
    <cfRule type="expression" dxfId="98" priority="14">
      <formula>ISNUMBER(F30)=FALSE</formula>
    </cfRule>
  </conditionalFormatting>
  <conditionalFormatting sqref="B30:C45">
    <cfRule type="containsBlanks" dxfId="97" priority="13">
      <formula>LEN(TRIM(B30))=0</formula>
    </cfRule>
  </conditionalFormatting>
  <conditionalFormatting sqref="F46:F47 I46:I47 L46:L47 O46:O47">
    <cfRule type="expression" dxfId="96" priority="12">
      <formula>ISNUMBER(F46)=FALSE</formula>
    </cfRule>
  </conditionalFormatting>
  <conditionalFormatting sqref="B46:C47">
    <cfRule type="containsBlanks" dxfId="95" priority="11">
      <formula>LEN(TRIM(B46))=0</formula>
    </cfRule>
  </conditionalFormatting>
  <conditionalFormatting sqref="F48 I48 L48 O48">
    <cfRule type="expression" dxfId="94" priority="10">
      <formula>ISNUMBER(F48)=FALSE</formula>
    </cfRule>
  </conditionalFormatting>
  <conditionalFormatting sqref="B48:C48">
    <cfRule type="containsBlanks" dxfId="93" priority="9">
      <formula>LEN(TRIM(B48))=0</formula>
    </cfRule>
  </conditionalFormatting>
  <conditionalFormatting sqref="F49 I49 L49 O49">
    <cfRule type="expression" dxfId="92" priority="8">
      <formula>ISNUMBER(F49)=FALSE</formula>
    </cfRule>
  </conditionalFormatting>
  <conditionalFormatting sqref="B49:C49">
    <cfRule type="containsBlanks" dxfId="91" priority="7">
      <formula>LEN(TRIM(B49))=0</formula>
    </cfRule>
  </conditionalFormatting>
  <conditionalFormatting sqref="F50 I50 L50 O50">
    <cfRule type="expression" dxfId="90" priority="6">
      <formula>ISNUMBER(F50)=FALSE</formula>
    </cfRule>
  </conditionalFormatting>
  <conditionalFormatting sqref="B50:C50">
    <cfRule type="containsBlanks" dxfId="89" priority="5">
      <formula>LEN(TRIM(B50))=0</formula>
    </cfRule>
  </conditionalFormatting>
  <conditionalFormatting sqref="F51 I51 L51 O51">
    <cfRule type="expression" dxfId="88" priority="4">
      <formula>ISNUMBER(F51)=FALSE</formula>
    </cfRule>
  </conditionalFormatting>
  <conditionalFormatting sqref="B51:C51">
    <cfRule type="containsBlanks" dxfId="87" priority="3">
      <formula>LEN(TRIM(B51))=0</formula>
    </cfRule>
  </conditionalFormatting>
  <conditionalFormatting sqref="F52 I52 L52 O52">
    <cfRule type="expression" dxfId="86" priority="2">
      <formula>ISNUMBER(F52)=FALSE</formula>
    </cfRule>
  </conditionalFormatting>
  <conditionalFormatting sqref="B52:C52">
    <cfRule type="containsBlanks" dxfId="85" priority="1">
      <formula>LEN(TRIM(B52))=0</formula>
    </cfRule>
  </conditionalFormatting>
  <dataValidations xWindow="2660" yWindow="1069" count="4">
    <dataValidation allowBlank="1" showInputMessage="1" errorTitle="Warning: Max Ceilings exceeded" error="Please be aware that this exceed the &quot;Ceilings&quot; for the maximum amounts for staff cost by country" sqref="J13:J52 P13:P52 G13:G52 M13:M52" xr:uid="{00000000-0002-0000-0200-000000000000}"/>
    <dataValidation type="custom" allowBlank="1" showInputMessage="1" showErrorMessage="1" error="Format error (1 decimal only)" prompt="Please encode number of days - 1 decimal only" sqref="I13:I52 O13:O52 L13:L52 F13:F52" xr:uid="{00000000-0002-0000-0200-000001000000}">
      <formula1>F13=INT(F13*10)/10</formula1>
    </dataValidation>
    <dataValidation type="list" allowBlank="1" showInputMessage="1" showErrorMessage="1" error="Click arrow to select Work Package" prompt="Click arrow to select Work Package" sqref="B13:B52" xr:uid="{00000000-0002-0000-0200-000002000000}">
      <formula1>WorkPackage</formula1>
    </dataValidation>
    <dataValidation type="list" allowBlank="1" showInputMessage="1" showErrorMessage="1" error="Click arrow to select Partner N°" prompt="Click arrow to select Partner N°" sqref="C13:C52"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87086</xdr:rowOff>
                  </from>
                  <to>
                    <xdr:col>1</xdr:col>
                    <xdr:colOff>1877786</xdr:colOff>
                    <xdr:row>1</xdr:row>
                    <xdr:rowOff>446314</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87086</xdr:rowOff>
                  </from>
                  <to>
                    <xdr:col>3</xdr:col>
                    <xdr:colOff>174171</xdr:colOff>
                    <xdr:row>1</xdr:row>
                    <xdr:rowOff>446314</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239486</xdr:colOff>
                    <xdr:row>1</xdr:row>
                    <xdr:rowOff>87086</xdr:rowOff>
                  </from>
                  <to>
                    <xdr:col>3</xdr:col>
                    <xdr:colOff>2041071</xdr:colOff>
                    <xdr:row>1</xdr:row>
                    <xdr:rowOff>446314</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73"/>
  <sheetViews>
    <sheetView showGridLines="0" topLeftCell="D1" zoomScale="80" zoomScaleNormal="80" zoomScaleSheetLayoutView="55" workbookViewId="0">
      <pane ySplit="13" topLeftCell="A56" activePane="bottomLeft" state="frozen"/>
      <selection pane="bottomLeft" activeCell="M64" sqref="M64"/>
    </sheetView>
  </sheetViews>
  <sheetFormatPr defaultColWidth="9.15234375" defaultRowHeight="18" x14ac:dyDescent="0.45"/>
  <cols>
    <col min="1" max="1" width="1.69140625" style="1" customWidth="1"/>
    <col min="2" max="2" width="42.69140625" style="1" customWidth="1"/>
    <col min="3" max="3" width="10.69140625" style="1" customWidth="1"/>
    <col min="4" max="5" width="50.69140625" style="1" customWidth="1"/>
    <col min="6" max="6" width="30.69140625" style="1" customWidth="1"/>
    <col min="7" max="7" width="15.69140625" style="1" customWidth="1"/>
    <col min="8" max="8" width="14.3046875" style="1" customWidth="1"/>
    <col min="9" max="9" width="30.69140625" style="1" customWidth="1"/>
    <col min="10" max="10" width="24.69140625" style="1" bestFit="1" customWidth="1"/>
    <col min="11" max="11" width="17.15234375" style="1" customWidth="1"/>
    <col min="12" max="12" width="40.69140625" style="1" customWidth="1"/>
    <col min="13" max="16" width="22.3046875" style="1" customWidth="1"/>
    <col min="17" max="17" width="22" style="1" customWidth="1"/>
    <col min="18" max="18" width="11.69140625" style="1" bestFit="1" customWidth="1"/>
    <col min="19" max="19" width="1.69140625" style="1" customWidth="1"/>
    <col min="20" max="16384" width="9.15234375" style="1"/>
  </cols>
  <sheetData>
    <row r="1" spans="2:18" ht="8.15" customHeight="1" x14ac:dyDescent="0.45"/>
    <row r="2" spans="2:18" s="20" customFormat="1" ht="40" customHeight="1" x14ac:dyDescent="0.45">
      <c r="B2" s="142" t="s">
        <v>183</v>
      </c>
      <c r="C2" s="142"/>
      <c r="D2" s="142"/>
      <c r="E2" s="142"/>
      <c r="F2" s="142"/>
      <c r="G2" s="142"/>
      <c r="H2" s="142"/>
      <c r="I2" s="142"/>
      <c r="J2" s="142"/>
      <c r="K2" s="142"/>
      <c r="L2" s="142"/>
      <c r="M2" s="142"/>
      <c r="N2" s="142"/>
      <c r="O2" s="142"/>
      <c r="P2" s="142"/>
      <c r="Q2" s="142"/>
      <c r="R2" s="142"/>
    </row>
    <row r="3" spans="2:18" s="20" customFormat="1" ht="8.15" customHeight="1" x14ac:dyDescent="0.45">
      <c r="B3" s="128"/>
      <c r="C3" s="129"/>
      <c r="D3" s="129"/>
      <c r="E3" s="129"/>
      <c r="F3" s="129"/>
      <c r="G3" s="129"/>
      <c r="H3" s="129"/>
      <c r="I3" s="129"/>
      <c r="J3" s="129"/>
      <c r="K3" s="129"/>
      <c r="L3" s="129"/>
      <c r="M3" s="129"/>
      <c r="N3" s="129"/>
      <c r="O3" s="129"/>
      <c r="P3" s="129"/>
      <c r="Q3" s="129"/>
      <c r="R3" s="130"/>
    </row>
    <row r="4" spans="2:18" s="20" customFormat="1" ht="20.149999999999999" customHeight="1" x14ac:dyDescent="0.45">
      <c r="B4" s="151" t="s">
        <v>302</v>
      </c>
      <c r="C4" s="152"/>
      <c r="D4" s="51">
        <f>SUMIF(G:G,"Student",O:O)</f>
        <v>22500</v>
      </c>
      <c r="E4" s="166">
        <f>D4+D5</f>
        <v>205250</v>
      </c>
      <c r="F4" s="147">
        <f>SUMIFS(H:H,G:G,"Student",R:R,"&lt;&gt;Error")</f>
        <v>225</v>
      </c>
      <c r="G4" s="49"/>
      <c r="L4" s="168" t="s">
        <v>345</v>
      </c>
      <c r="M4" s="169"/>
      <c r="N4" s="170"/>
      <c r="O4" s="90"/>
      <c r="P4" s="90"/>
      <c r="Q4" s="90"/>
      <c r="R4" s="77"/>
    </row>
    <row r="5" spans="2:18" s="20" customFormat="1" ht="20.149999999999999" customHeight="1" x14ac:dyDescent="0.45">
      <c r="B5" s="149" t="s">
        <v>303</v>
      </c>
      <c r="C5" s="150"/>
      <c r="D5" s="52">
        <f>SUMIF(G:G,"Student",P:P)</f>
        <v>182750</v>
      </c>
      <c r="E5" s="167"/>
      <c r="F5" s="148"/>
      <c r="G5" s="49"/>
      <c r="H5" s="50"/>
      <c r="I5" s="50"/>
      <c r="J5" s="50"/>
      <c r="L5" s="153" t="s">
        <v>354</v>
      </c>
      <c r="M5" s="154"/>
      <c r="N5" s="155"/>
      <c r="O5" s="50"/>
      <c r="P5" s="50"/>
      <c r="Q5" s="50"/>
      <c r="R5" s="77"/>
    </row>
    <row r="6" spans="2:18" s="20" customFormat="1" ht="20.149999999999999" customHeight="1" x14ac:dyDescent="0.45">
      <c r="B6" s="151" t="s">
        <v>304</v>
      </c>
      <c r="C6" s="152"/>
      <c r="D6" s="51">
        <f>SUMIF(G:G,"Staff",O:O)</f>
        <v>0</v>
      </c>
      <c r="E6" s="164">
        <f>D6+D7</f>
        <v>18000</v>
      </c>
      <c r="F6" s="145">
        <f>SUMIFS(H:H,G:G,"Staff",R:R,"&lt;&gt;Error")</f>
        <v>50</v>
      </c>
      <c r="G6" s="49"/>
      <c r="L6" s="156"/>
      <c r="M6" s="157"/>
      <c r="N6" s="158"/>
      <c r="R6" s="77"/>
    </row>
    <row r="7" spans="2:18" s="20" customFormat="1" ht="20.149999999999999" customHeight="1" x14ac:dyDescent="0.45">
      <c r="B7" s="149" t="s">
        <v>305</v>
      </c>
      <c r="C7" s="150"/>
      <c r="D7" s="52">
        <f>SUMIF(G:G,"Staff",P:P)</f>
        <v>18000</v>
      </c>
      <c r="E7" s="165"/>
      <c r="F7" s="146"/>
      <c r="G7" s="49"/>
      <c r="L7" s="156"/>
      <c r="M7" s="157"/>
      <c r="N7" s="158"/>
      <c r="R7" s="77"/>
    </row>
    <row r="8" spans="2:18" s="20" customFormat="1" ht="20.149999999999999" customHeight="1" x14ac:dyDescent="0.45">
      <c r="B8" s="151" t="s">
        <v>306</v>
      </c>
      <c r="C8" s="152"/>
      <c r="D8" s="51">
        <f>SUM(O:O)</f>
        <v>22500</v>
      </c>
      <c r="E8" s="162">
        <f>D8+D9</f>
        <v>223250</v>
      </c>
      <c r="F8" s="143">
        <f>F4+F6</f>
        <v>275</v>
      </c>
      <c r="G8" s="49"/>
      <c r="L8" s="156"/>
      <c r="M8" s="157"/>
      <c r="N8" s="158"/>
      <c r="R8" s="77"/>
    </row>
    <row r="9" spans="2:18" s="20" customFormat="1" ht="20.149999999999999" customHeight="1" x14ac:dyDescent="0.45">
      <c r="B9" s="149" t="s">
        <v>307</v>
      </c>
      <c r="C9" s="150"/>
      <c r="D9" s="52">
        <f>SUM(P:P)</f>
        <v>200750</v>
      </c>
      <c r="E9" s="163"/>
      <c r="F9" s="144"/>
      <c r="G9" s="49"/>
      <c r="L9" s="156"/>
      <c r="M9" s="157"/>
      <c r="N9" s="158"/>
      <c r="R9" s="77"/>
    </row>
    <row r="10" spans="2:18" s="20" customFormat="1" x14ac:dyDescent="0.45">
      <c r="B10" s="149" t="s">
        <v>344</v>
      </c>
      <c r="C10" s="150"/>
      <c r="D10" s="52">
        <f>SUM(N:N)</f>
        <v>120000</v>
      </c>
      <c r="L10" s="156"/>
      <c r="M10" s="157"/>
      <c r="N10" s="158"/>
      <c r="R10" s="94"/>
    </row>
    <row r="11" spans="2:18" s="45" customFormat="1" ht="62.25" customHeight="1" x14ac:dyDescent="0.45">
      <c r="B11" s="86"/>
      <c r="L11" s="159"/>
      <c r="M11" s="160"/>
      <c r="N11" s="161"/>
      <c r="R11" s="87"/>
    </row>
    <row r="12" spans="2:18" ht="75" customHeight="1" x14ac:dyDescent="0.4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4">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4">
      <c r="B14" s="14" t="s">
        <v>172</v>
      </c>
      <c r="C14" s="19" t="s">
        <v>8</v>
      </c>
      <c r="D14" s="42" t="str">
        <f t="shared" si="0"/>
        <v>MMADD</v>
      </c>
      <c r="E14" s="42" t="str">
        <f t="shared" si="1"/>
        <v>Serbia</v>
      </c>
      <c r="F14" s="18" t="s">
        <v>379</v>
      </c>
      <c r="G14" s="78" t="s">
        <v>208</v>
      </c>
      <c r="H14" s="79">
        <v>2</v>
      </c>
      <c r="I14" s="18" t="s">
        <v>381</v>
      </c>
      <c r="J14" s="14" t="s">
        <v>149</v>
      </c>
      <c r="K14" s="79">
        <v>3</v>
      </c>
      <c r="L14" s="92" t="s">
        <v>347</v>
      </c>
      <c r="M14" s="93">
        <v>3000</v>
      </c>
      <c r="N14" s="37">
        <f>IF(AND(M14&gt;0,L14&lt;&gt;""),IF(M14&gt;(ROUND( (ROUND(ROUND(H14,0)*(VLOOKUP(J14,TravelCosts,2,FALSE)),2))/0.65,2)),ROUND(M14*0.8,2),"covered by unit cost"),0)</f>
        <v>2400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720</v>
      </c>
      <c r="Q14" s="38">
        <f>IFERROR(N14+O14+P14,O14+P14)</f>
        <v>3120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
      </c>
    </row>
    <row r="15" spans="2:18" s="34" customFormat="1" x14ac:dyDescent="0.4">
      <c r="B15" s="14" t="s">
        <v>172</v>
      </c>
      <c r="C15" s="19" t="s">
        <v>9</v>
      </c>
      <c r="D15" s="42" t="str">
        <f t="shared" ref="D15" si="2">IFERROR(IF(VLOOKUP(C15,PartnerN°Ref,2,FALSE)=0,"",VLOOKUP(C15,PartnerN°Ref,2,FALSE)),"")</f>
        <v xml:space="preserve">Univerzitet u Beogradu, Matematički fakultet </v>
      </c>
      <c r="E15" s="42" t="str">
        <f t="shared" ref="E15" si="3">IFERROR(IF(OR(VLOOKUP(C15,PartnerN°Ref,4,FALSE)="Country not found",VLOOKUP(C15,PartnerN°Ref,3,FALSE)=0),"",VLOOKUP(C15,PartnerN°Ref,3,FALSE)),"")</f>
        <v>Serbia</v>
      </c>
      <c r="F15" s="18" t="s">
        <v>379</v>
      </c>
      <c r="G15" s="78" t="s">
        <v>210</v>
      </c>
      <c r="H15" s="79">
        <v>4</v>
      </c>
      <c r="I15" s="18" t="s">
        <v>381</v>
      </c>
      <c r="J15" s="14" t="s">
        <v>149</v>
      </c>
      <c r="K15" s="79">
        <v>3</v>
      </c>
      <c r="L15" s="92" t="s">
        <v>347</v>
      </c>
      <c r="M15" s="93">
        <v>3000</v>
      </c>
      <c r="N15" s="37">
        <f>IF(AND(M15&gt;0,L15&lt;&gt;""),IF(M15&gt;(ROUND( (ROUND(ROUND(H15,0)*(VLOOKUP(J15,TravelCosts,2,FALSE)),2))/0.65,2)),ROUND(M15*0.8,2),"covered by unit cost"),0)</f>
        <v>2400</v>
      </c>
      <c r="O15" s="37">
        <f>IF(OR(AND(L15&lt;&gt;"",M15&gt;0,ISNUMBER(N15)),R15="Error"),0,ROUND(ROUND(H15,0)*(VLOOKUP(J15,TravelCosts,2,FALSE)),2))</f>
        <v>0</v>
      </c>
      <c r="P15" s="37">
        <f>IF(R15="Error",0,IF(AND(G15="Staff",K15&gt;0,K15&lt;15),(120*K15)*H15,IF(AND(G15="Staff",K15&gt;14,K15&lt;61),(1680+((K15-14)*70))*H15,IF(AND(G15="Staff",K15&gt;60,K15&lt;91),(4900+((K15-60)*50))*H15,IF(AND(G15="Student",K15&gt;0,K15&lt;15),(55*K15)*H15,IF(AND(G15="Student",K15&gt;14,K15&lt;91),(770+((K15-14)*40))*H15,0))))))</f>
        <v>660</v>
      </c>
      <c r="Q15" s="38">
        <f>IFERROR(N15+O15+P15,O15+P15)</f>
        <v>3060</v>
      </c>
      <c r="R15" s="91" t="str">
        <f>IF(OR(COUNTIF(WorkPackage,B15)=0,COUNTIF(PartnerN°,C15)=0,D15="",COUNTIF(CountryALL,E15)=0,F15="",COUNTIF(Category2,G15)=0,ISNUMBER(H15)=FALSE,H15&lt;=0,I15="",COUNTIF(TravelBands,J15)=0,ISNUMBER(K15)=FALSE,OR(K15&lt;0,K15&gt;90),IF(ISNUMBER(H15)=TRUE,H15=INT(H15*1)/1=FALSE),IF(ISNUMBER(K15)=TRUE,K15=INT(K15*1)/1=FALSE),AND(L15&lt;&gt;"",M15=0),AND(L15="",M15&gt;0),ISNUMBER(N15)=FALSE ),"Error","")</f>
        <v/>
      </c>
    </row>
    <row r="16" spans="2:18" s="34" customFormat="1" x14ac:dyDescent="0.4">
      <c r="B16" s="14" t="s">
        <v>172</v>
      </c>
      <c r="C16" s="19" t="s">
        <v>9</v>
      </c>
      <c r="D16" s="42" t="str">
        <f t="shared" ref="D16" si="4">IFERROR(IF(VLOOKUP(C16,PartnerN°Ref,2,FALSE)=0,"",VLOOKUP(C16,PartnerN°Ref,2,FALSE)),"")</f>
        <v xml:space="preserve">Univerzitet u Beogradu, Matematički fakultet </v>
      </c>
      <c r="E16" s="42" t="str">
        <f t="shared" ref="E16" si="5">IFERROR(IF(OR(VLOOKUP(C16,PartnerN°Ref,4,FALSE)="Country not found",VLOOKUP(C16,PartnerN°Ref,3,FALSE)=0),"",VLOOKUP(C16,PartnerN°Ref,3,FALSE)),"")</f>
        <v>Serbia</v>
      </c>
      <c r="F16" s="18" t="s">
        <v>379</v>
      </c>
      <c r="G16" s="78" t="s">
        <v>208</v>
      </c>
      <c r="H16" s="79">
        <v>2</v>
      </c>
      <c r="I16" s="18" t="s">
        <v>381</v>
      </c>
      <c r="J16" s="14" t="s">
        <v>149</v>
      </c>
      <c r="K16" s="79">
        <v>3</v>
      </c>
      <c r="L16" s="92" t="s">
        <v>347</v>
      </c>
      <c r="M16" s="93">
        <v>3000</v>
      </c>
      <c r="N16" s="37">
        <f>IF(AND(M16&gt;0,L16&lt;&gt;""),IF(M16&gt;(ROUND( (ROUND(ROUND(H16,0)*(VLOOKUP(J16,TravelCosts,2,FALSE)),2))/0.65,2)),ROUND(M16*0.8,2),"covered by unit cost"),0)</f>
        <v>2400</v>
      </c>
      <c r="O16" s="37">
        <f>IF(OR(AND(L16&lt;&gt;"",M16&gt;0,ISNUMBER(N16)),R16="Error"),0,ROUND(ROUND(H16,0)*(VLOOKUP(J16,TravelCosts,2,FALSE)),2))</f>
        <v>0</v>
      </c>
      <c r="P16" s="37">
        <f>IF(R16="Error",0,IF(AND(G16="Staff",K16&gt;0,K16&lt;15),(120*K16)*H16,IF(AND(G16="Staff",K16&gt;14,K16&lt;61),(1680+((K16-14)*70))*H16,IF(AND(G16="Staff",K16&gt;60,K16&lt;91),(4900+((K16-60)*50))*H16,IF(AND(G16="Student",K16&gt;0,K16&lt;15),(55*K16)*H16,IF(AND(G16="Student",K16&gt;14,K16&lt;91),(770+((K16-14)*40))*H16,0))))))</f>
        <v>720</v>
      </c>
      <c r="Q16" s="38">
        <f>IFERROR(N16+O16+P16,O16+P16)</f>
        <v>3120</v>
      </c>
      <c r="R16" s="91" t="str">
        <f>IF(OR(COUNTIF(WorkPackage,B16)=0,COUNTIF(PartnerN°,C16)=0,D16="",COUNTIF(CountryALL,E16)=0,F16="",COUNTIF(Category2,G16)=0,ISNUMBER(H16)=FALSE,H16&lt;=0,I16="",COUNTIF(TravelBands,J16)=0,ISNUMBER(K16)=FALSE,OR(K16&lt;0,K16&gt;90),IF(ISNUMBER(H16)=TRUE,H16=INT(H16*1)/1=FALSE),IF(ISNUMBER(K16)=TRUE,K16=INT(K16*1)/1=FALSE),AND(L16&lt;&gt;"",M16=0),AND(L16="",M16&gt;0),ISNUMBER(N16)=FALSE ),"Error","")</f>
        <v/>
      </c>
    </row>
    <row r="17" spans="2:18" s="34" customFormat="1" x14ac:dyDescent="0.4">
      <c r="B17" s="14" t="s">
        <v>172</v>
      </c>
      <c r="C17" s="19" t="s">
        <v>12</v>
      </c>
      <c r="D17" s="42" t="str">
        <f t="shared" ref="D17" si="6">IFERROR(IF(VLOOKUP(C17,PartnerN°Ref,2,FALSE)=0,"",VLOOKUP(C17,PartnerN°Ref,2,FALSE)),"")</f>
        <v>ICT Hub Beograd</v>
      </c>
      <c r="E17" s="42" t="str">
        <f t="shared" ref="E17" si="7">IFERROR(IF(OR(VLOOKUP(C17,PartnerN°Ref,4,FALSE)="Country not found",VLOOKUP(C17,PartnerN°Ref,3,FALSE)=0),"",VLOOKUP(C17,PartnerN°Ref,3,FALSE)),"")</f>
        <v>Serbia</v>
      </c>
      <c r="F17" s="18" t="s">
        <v>379</v>
      </c>
      <c r="G17" s="78" t="s">
        <v>210</v>
      </c>
      <c r="H17" s="79">
        <v>4</v>
      </c>
      <c r="I17" s="18" t="s">
        <v>381</v>
      </c>
      <c r="J17" s="14" t="s">
        <v>149</v>
      </c>
      <c r="K17" s="79">
        <v>3</v>
      </c>
      <c r="L17" s="92" t="s">
        <v>347</v>
      </c>
      <c r="M17" s="93">
        <v>3000</v>
      </c>
      <c r="N17" s="37">
        <f>IF(AND(M17&gt;0,L17&lt;&gt;""),IF(M17&gt;(ROUND( (ROUND(ROUND(H17,0)*(VLOOKUP(J17,TravelCosts,2,FALSE)),2))/0.65,2)),ROUND(M17*0.8,2),"covered by unit cost"),0)</f>
        <v>2400</v>
      </c>
      <c r="O17" s="37">
        <f>IF(OR(AND(L17&lt;&gt;"",M17&gt;0,ISNUMBER(N17)),R17="Error"),0,ROUND(ROUND(H17,0)*(VLOOKUP(J17,TravelCosts,2,FALSE)),2))</f>
        <v>0</v>
      </c>
      <c r="P17" s="37">
        <f>IF(R17="Error",0,IF(AND(G17="Staff",K17&gt;0,K17&lt;15),(120*K17)*H17,IF(AND(G17="Staff",K17&gt;14,K17&lt;61),(1680+((K17-14)*70))*H17,IF(AND(G17="Staff",K17&gt;60,K17&lt;91),(4900+((K17-60)*50))*H17,IF(AND(G17="Student",K17&gt;0,K17&lt;15),(55*K17)*H17,IF(AND(G17="Student",K17&gt;14,K17&lt;91),(770+((K17-14)*40))*H17,0))))))</f>
        <v>660</v>
      </c>
      <c r="Q17" s="38">
        <f>IFERROR(N17+O17+P17,O17+P17)</f>
        <v>3060</v>
      </c>
      <c r="R17" s="91" t="str">
        <f>IF(OR(COUNTIF(WorkPackage,B17)=0,COUNTIF(PartnerN°,C17)=0,D17="",COUNTIF(CountryALL,E17)=0,F17="",COUNTIF(Category2,G17)=0,ISNUMBER(H17)=FALSE,H17&lt;=0,I17="",COUNTIF(TravelBands,J17)=0,ISNUMBER(K17)=FALSE,OR(K17&lt;0,K17&gt;90),IF(ISNUMBER(H17)=TRUE,H17=INT(H17*1)/1=FALSE),IF(ISNUMBER(K17)=TRUE,K17=INT(K17*1)/1=FALSE),AND(L17&lt;&gt;"",M17=0),AND(L17="",M17&gt;0),ISNUMBER(N17)=FALSE ),"Error","")</f>
        <v/>
      </c>
    </row>
    <row r="18" spans="2:18" s="34" customFormat="1" x14ac:dyDescent="0.4">
      <c r="B18" s="14" t="s">
        <v>172</v>
      </c>
      <c r="C18" s="19" t="s">
        <v>12</v>
      </c>
      <c r="D18" s="42" t="str">
        <f t="shared" ref="D18" si="8">IFERROR(IF(VLOOKUP(C18,PartnerN°Ref,2,FALSE)=0,"",VLOOKUP(C18,PartnerN°Ref,2,FALSE)),"")</f>
        <v>ICT Hub Beograd</v>
      </c>
      <c r="E18" s="42" t="str">
        <f t="shared" ref="E18" si="9">IFERROR(IF(OR(VLOOKUP(C18,PartnerN°Ref,4,FALSE)="Country not found",VLOOKUP(C18,PartnerN°Ref,3,FALSE)=0),"",VLOOKUP(C18,PartnerN°Ref,3,FALSE)),"")</f>
        <v>Serbia</v>
      </c>
      <c r="F18" s="18" t="s">
        <v>379</v>
      </c>
      <c r="G18" s="78" t="s">
        <v>208</v>
      </c>
      <c r="H18" s="79">
        <v>2</v>
      </c>
      <c r="I18" s="18" t="s">
        <v>381</v>
      </c>
      <c r="J18" s="14" t="s">
        <v>149</v>
      </c>
      <c r="K18" s="79">
        <v>3</v>
      </c>
      <c r="L18" s="92" t="s">
        <v>347</v>
      </c>
      <c r="M18" s="93">
        <v>3000</v>
      </c>
      <c r="N18" s="37">
        <f>IF(AND(M18&gt;0,L18&lt;&gt;""),IF(M18&gt;(ROUND( (ROUND(ROUND(H18,0)*(VLOOKUP(J18,TravelCosts,2,FALSE)),2))/0.65,2)),ROUND(M18*0.8,2),"covered by unit cost"),0)</f>
        <v>2400</v>
      </c>
      <c r="O18" s="37">
        <f>IF(OR(AND(L18&lt;&gt;"",M18&gt;0,ISNUMBER(N18)),R18="Error"),0,ROUND(ROUND(H18,0)*(VLOOKUP(J18,TravelCosts,2,FALSE)),2))</f>
        <v>0</v>
      </c>
      <c r="P18" s="37">
        <f>IF(R18="Error",0,IF(AND(G18="Staff",K18&gt;0,K18&lt;15),(120*K18)*H18,IF(AND(G18="Staff",K18&gt;14,K18&lt;61),(1680+((K18-14)*70))*H18,IF(AND(G18="Staff",K18&gt;60,K18&lt;91),(4900+((K18-60)*50))*H18,IF(AND(G18="Student",K18&gt;0,K18&lt;15),(55*K18)*H18,IF(AND(G18="Student",K18&gt;14,K18&lt;91),(770+((K18-14)*40))*H18,0))))))</f>
        <v>720</v>
      </c>
      <c r="Q18" s="38">
        <f>IFERROR(N18+O18+P18,O18+P18)</f>
        <v>3120</v>
      </c>
      <c r="R18" s="91" t="str">
        <f>IF(OR(COUNTIF(WorkPackage,B18)=0,COUNTIF(PartnerN°,C18)=0,D18="",COUNTIF(CountryALL,E18)=0,F18="",COUNTIF(Category2,G18)=0,ISNUMBER(H18)=FALSE,H18&lt;=0,I18="",COUNTIF(TravelBands,J18)=0,ISNUMBER(K18)=FALSE,OR(K18&lt;0,K18&gt;90),IF(ISNUMBER(H18)=TRUE,H18=INT(H18*1)/1=FALSE),IF(ISNUMBER(K18)=TRUE,K18=INT(K18*1)/1=FALSE),AND(L18&lt;&gt;"",M18=0),AND(L18="",M18&gt;0),ISNUMBER(N18)=FALSE ),"Error","")</f>
        <v/>
      </c>
    </row>
    <row r="19" spans="2:18" s="34" customFormat="1" x14ac:dyDescent="0.4">
      <c r="B19" s="14" t="s">
        <v>172</v>
      </c>
      <c r="C19" s="19" t="s">
        <v>15</v>
      </c>
      <c r="D19" s="42" t="str">
        <f t="shared" ref="D19" si="10">IFERROR(IF(VLOOKUP(C19,PartnerN°Ref,2,FALSE)=0,"",VLOOKUP(C19,PartnerN°Ref,2,FALSE)),"")</f>
        <v>Fakultet tehničkih nauka, Univerzitet u Novom Sadu</v>
      </c>
      <c r="E19" s="42" t="str">
        <f t="shared" ref="E19" si="11">IFERROR(IF(OR(VLOOKUP(C19,PartnerN°Ref,4,FALSE)="Country not found",VLOOKUP(C19,PartnerN°Ref,3,FALSE)=0),"",VLOOKUP(C19,PartnerN°Ref,3,FALSE)),"")</f>
        <v>Serbia</v>
      </c>
      <c r="F19" s="18" t="s">
        <v>379</v>
      </c>
      <c r="G19" s="78" t="s">
        <v>210</v>
      </c>
      <c r="H19" s="79">
        <v>4</v>
      </c>
      <c r="I19" s="18" t="s">
        <v>381</v>
      </c>
      <c r="J19" s="14" t="s">
        <v>149</v>
      </c>
      <c r="K19" s="79">
        <v>3</v>
      </c>
      <c r="L19" s="92" t="s">
        <v>347</v>
      </c>
      <c r="M19" s="93">
        <v>3000</v>
      </c>
      <c r="N19" s="37">
        <f>IF(AND(M19&gt;0,L19&lt;&gt;""),IF(M19&gt;(ROUND( (ROUND(ROUND(H19,0)*(VLOOKUP(J19,TravelCosts,2,FALSE)),2))/0.65,2)),ROUND(M19*0.8,2),"covered by unit cost"),0)</f>
        <v>2400</v>
      </c>
      <c r="O19" s="37">
        <f>IF(OR(AND(L19&lt;&gt;"",M19&gt;0,ISNUMBER(N19)),R19="Error"),0,ROUND(ROUND(H19,0)*(VLOOKUP(J19,TravelCosts,2,FALSE)),2))</f>
        <v>0</v>
      </c>
      <c r="P19" s="37">
        <f>IF(R19="Error",0,IF(AND(G19="Staff",K19&gt;0,K19&lt;15),(120*K19)*H19,IF(AND(G19="Staff",K19&gt;14,K19&lt;61),(1680+((K19-14)*70))*H19,IF(AND(G19="Staff",K19&gt;60,K19&lt;91),(4900+((K19-60)*50))*H19,IF(AND(G19="Student",K19&gt;0,K19&lt;15),(55*K19)*H19,IF(AND(G19="Student",K19&gt;14,K19&lt;91),(770+((K19-14)*40))*H19,0))))))</f>
        <v>660</v>
      </c>
      <c r="Q19" s="38">
        <f>IFERROR(N19+O19+P19,O19+P19)</f>
        <v>3060</v>
      </c>
      <c r="R19" s="91" t="str">
        <f>IF(OR(COUNTIF(WorkPackage,B19)=0,COUNTIF(PartnerN°,C19)=0,D19="",COUNTIF(CountryALL,E19)=0,F19="",COUNTIF(Category2,G19)=0,ISNUMBER(H19)=FALSE,H19&lt;=0,I19="",COUNTIF(TravelBands,J19)=0,ISNUMBER(K19)=FALSE,OR(K19&lt;0,K19&gt;90),IF(ISNUMBER(H19)=TRUE,H19=INT(H19*1)/1=FALSE),IF(ISNUMBER(K19)=TRUE,K19=INT(K19*1)/1=FALSE),AND(L19&lt;&gt;"",M19=0),AND(L19="",M19&gt;0),ISNUMBER(N19)=FALSE ),"Error","")</f>
        <v/>
      </c>
    </row>
    <row r="20" spans="2:18" s="34" customFormat="1" x14ac:dyDescent="0.4">
      <c r="B20" s="14" t="s">
        <v>172</v>
      </c>
      <c r="C20" s="19" t="s">
        <v>15</v>
      </c>
      <c r="D20" s="42" t="str">
        <f t="shared" ref="D20" si="12">IFERROR(IF(VLOOKUP(C20,PartnerN°Ref,2,FALSE)=0,"",VLOOKUP(C20,PartnerN°Ref,2,FALSE)),"")</f>
        <v>Fakultet tehničkih nauka, Univerzitet u Novom Sadu</v>
      </c>
      <c r="E20" s="42" t="str">
        <f t="shared" ref="E20" si="13">IFERROR(IF(OR(VLOOKUP(C20,PartnerN°Ref,4,FALSE)="Country not found",VLOOKUP(C20,PartnerN°Ref,3,FALSE)=0),"",VLOOKUP(C20,PartnerN°Ref,3,FALSE)),"")</f>
        <v>Serbia</v>
      </c>
      <c r="F20" s="18" t="s">
        <v>379</v>
      </c>
      <c r="G20" s="78" t="s">
        <v>208</v>
      </c>
      <c r="H20" s="79">
        <v>2</v>
      </c>
      <c r="I20" s="18" t="s">
        <v>381</v>
      </c>
      <c r="J20" s="14" t="s">
        <v>149</v>
      </c>
      <c r="K20" s="79">
        <v>3</v>
      </c>
      <c r="L20" s="92" t="s">
        <v>347</v>
      </c>
      <c r="M20" s="93">
        <v>3000</v>
      </c>
      <c r="N20" s="37">
        <f>IF(AND(M20&gt;0,L20&lt;&gt;""),IF(M20&gt;(ROUND( (ROUND(ROUND(H20,0)*(VLOOKUP(J20,TravelCosts,2,FALSE)),2))/0.65,2)),ROUND(M20*0.8,2),"covered by unit cost"),0)</f>
        <v>2400</v>
      </c>
      <c r="O20" s="37">
        <f>IF(OR(AND(L20&lt;&gt;"",M20&gt;0,ISNUMBER(N20)),R20="Error"),0,ROUND(ROUND(H20,0)*(VLOOKUP(J20,TravelCosts,2,FALSE)),2))</f>
        <v>0</v>
      </c>
      <c r="P20" s="37">
        <f>IF(R20="Error",0,IF(AND(G20="Staff",K20&gt;0,K20&lt;15),(120*K20)*H20,IF(AND(G20="Staff",K20&gt;14,K20&lt;61),(1680+((K20-14)*70))*H20,IF(AND(G20="Staff",K20&gt;60,K20&lt;91),(4900+((K20-60)*50))*H20,IF(AND(G20="Student",K20&gt;0,K20&lt;15),(55*K20)*H20,IF(AND(G20="Student",K20&gt;14,K20&lt;91),(770+((K20-14)*40))*H20,0))))))</f>
        <v>720</v>
      </c>
      <c r="Q20" s="38">
        <f>IFERROR(N20+O20+P20,O20+P20)</f>
        <v>3120</v>
      </c>
      <c r="R20" s="91" t="str">
        <f>IF(OR(COUNTIF(WorkPackage,B20)=0,COUNTIF(PartnerN°,C20)=0,D20="",COUNTIF(CountryALL,E20)=0,F20="",COUNTIF(Category2,G20)=0,ISNUMBER(H20)=FALSE,H20&lt;=0,I20="",COUNTIF(TravelBands,J20)=0,ISNUMBER(K20)=FALSE,OR(K20&lt;0,K20&gt;90),IF(ISNUMBER(H20)=TRUE,H20=INT(H20*1)/1=FALSE),IF(ISNUMBER(K20)=TRUE,K20=INT(K20*1)/1=FALSE),AND(L20&lt;&gt;"",M20=0),AND(L20="",M20&gt;0),ISNUMBER(N20)=FALSE ),"Error","")</f>
        <v/>
      </c>
    </row>
    <row r="21" spans="2:18" s="34" customFormat="1" x14ac:dyDescent="0.4">
      <c r="B21" s="14" t="s">
        <v>172</v>
      </c>
      <c r="C21" s="19" t="s">
        <v>18</v>
      </c>
      <c r="D21" s="42" t="str">
        <f t="shared" ref="D21" si="14">IFERROR(IF(VLOOKUP(C21,PartnerN°Ref,2,FALSE)=0,"",VLOOKUP(C21,PartnerN°Ref,2,FALSE)),"")</f>
        <v>Univerzitet u Nišu, Elektronski fakultet</v>
      </c>
      <c r="E21" s="42" t="str">
        <f t="shared" ref="E21" si="15">IFERROR(IF(OR(VLOOKUP(C21,PartnerN°Ref,4,FALSE)="Country not found",VLOOKUP(C21,PartnerN°Ref,3,FALSE)=0),"",VLOOKUP(C21,PartnerN°Ref,3,FALSE)),"")</f>
        <v>Serbia</v>
      </c>
      <c r="F21" s="18" t="s">
        <v>379</v>
      </c>
      <c r="G21" s="78" t="s">
        <v>210</v>
      </c>
      <c r="H21" s="79">
        <v>4</v>
      </c>
      <c r="I21" s="18" t="s">
        <v>381</v>
      </c>
      <c r="J21" s="14" t="s">
        <v>149</v>
      </c>
      <c r="K21" s="79">
        <v>3</v>
      </c>
      <c r="L21" s="92" t="s">
        <v>347</v>
      </c>
      <c r="M21" s="93">
        <v>3000</v>
      </c>
      <c r="N21" s="37">
        <f>IF(AND(M21&gt;0,L21&lt;&gt;""),IF(M21&gt;(ROUND( (ROUND(ROUND(H21,0)*(VLOOKUP(J21,TravelCosts,2,FALSE)),2))/0.65,2)),ROUND(M21*0.8,2),"covered by unit cost"),0)</f>
        <v>2400</v>
      </c>
      <c r="O21" s="37">
        <f>IF(OR(AND(L21&lt;&gt;"",M21&gt;0,ISNUMBER(N21)),R21="Error"),0,ROUND(ROUND(H21,0)*(VLOOKUP(J21,TravelCosts,2,FALSE)),2))</f>
        <v>0</v>
      </c>
      <c r="P21" s="37">
        <f>IF(R21="Error",0,IF(AND(G21="Staff",K21&gt;0,K21&lt;15),(120*K21)*H21,IF(AND(G21="Staff",K21&gt;14,K21&lt;61),(1680+((K21-14)*70))*H21,IF(AND(G21="Staff",K21&gt;60,K21&lt;91),(4900+((K21-60)*50))*H21,IF(AND(G21="Student",K21&gt;0,K21&lt;15),(55*K21)*H21,IF(AND(G21="Student",K21&gt;14,K21&lt;91),(770+((K21-14)*40))*H21,0))))))</f>
        <v>660</v>
      </c>
      <c r="Q21" s="38">
        <f>IFERROR(N21+O21+P21,O21+P21)</f>
        <v>3060</v>
      </c>
      <c r="R21" s="91" t="str">
        <f>IF(OR(COUNTIF(WorkPackage,B21)=0,COUNTIF(PartnerN°,C21)=0,D21="",COUNTIF(CountryALL,E21)=0,F21="",COUNTIF(Category2,G21)=0,ISNUMBER(H21)=FALSE,H21&lt;=0,I21="",COUNTIF(TravelBands,J21)=0,ISNUMBER(K21)=FALSE,OR(K21&lt;0,K21&gt;90),IF(ISNUMBER(H21)=TRUE,H21=INT(H21*1)/1=FALSE),IF(ISNUMBER(K21)=TRUE,K21=INT(K21*1)/1=FALSE),AND(L21&lt;&gt;"",M21=0),AND(L21="",M21&gt;0),ISNUMBER(N21)=FALSE ),"Error","")</f>
        <v/>
      </c>
    </row>
    <row r="22" spans="2:18" s="34" customFormat="1" x14ac:dyDescent="0.4">
      <c r="B22" s="14" t="s">
        <v>172</v>
      </c>
      <c r="C22" s="19" t="s">
        <v>18</v>
      </c>
      <c r="D22" s="42" t="str">
        <f t="shared" ref="D22" si="16">IFERROR(IF(VLOOKUP(C22,PartnerN°Ref,2,FALSE)=0,"",VLOOKUP(C22,PartnerN°Ref,2,FALSE)),"")</f>
        <v>Univerzitet u Nišu, Elektronski fakultet</v>
      </c>
      <c r="E22" s="42" t="str">
        <f t="shared" ref="E22" si="17">IFERROR(IF(OR(VLOOKUP(C22,PartnerN°Ref,4,FALSE)="Country not found",VLOOKUP(C22,PartnerN°Ref,3,FALSE)=0),"",VLOOKUP(C22,PartnerN°Ref,3,FALSE)),"")</f>
        <v>Serbia</v>
      </c>
      <c r="F22" s="18" t="s">
        <v>379</v>
      </c>
      <c r="G22" s="78" t="s">
        <v>208</v>
      </c>
      <c r="H22" s="79">
        <v>2</v>
      </c>
      <c r="I22" s="18" t="s">
        <v>381</v>
      </c>
      <c r="J22" s="14" t="s">
        <v>149</v>
      </c>
      <c r="K22" s="79">
        <v>3</v>
      </c>
      <c r="L22" s="92" t="s">
        <v>347</v>
      </c>
      <c r="M22" s="93">
        <v>3000</v>
      </c>
      <c r="N22" s="37">
        <f>IF(AND(M22&gt;0,L22&lt;&gt;""),IF(M22&gt;(ROUND( (ROUND(ROUND(H22,0)*(VLOOKUP(J22,TravelCosts,2,FALSE)),2))/0.65,2)),ROUND(M22*0.8,2),"covered by unit cost"),0)</f>
        <v>2400</v>
      </c>
      <c r="O22" s="37">
        <f>IF(OR(AND(L22&lt;&gt;"",M22&gt;0,ISNUMBER(N22)),R22="Error"),0,ROUND(ROUND(H22,0)*(VLOOKUP(J22,TravelCosts,2,FALSE)),2))</f>
        <v>0</v>
      </c>
      <c r="P22" s="37">
        <f>IF(R22="Error",0,IF(AND(G22="Staff",K22&gt;0,K22&lt;15),(120*K22)*H22,IF(AND(G22="Staff",K22&gt;14,K22&lt;61),(1680+((K22-14)*70))*H22,IF(AND(G22="Staff",K22&gt;60,K22&lt;91),(4900+((K22-60)*50))*H22,IF(AND(G22="Student",K22&gt;0,K22&lt;15),(55*K22)*H22,IF(AND(G22="Student",K22&gt;14,K22&lt;91),(770+((K22-14)*40))*H22,0))))))</f>
        <v>720</v>
      </c>
      <c r="Q22" s="38">
        <f>IFERROR(N22+O22+P22,O22+P22)</f>
        <v>3120</v>
      </c>
      <c r="R22" s="91" t="str">
        <f>IF(OR(COUNTIF(WorkPackage,B22)=0,COUNTIF(PartnerN°,C22)=0,D22="",COUNTIF(CountryALL,E22)=0,F22="",COUNTIF(Category2,G22)=0,ISNUMBER(H22)=FALSE,H22&lt;=0,I22="",COUNTIF(TravelBands,J22)=0,ISNUMBER(K22)=FALSE,OR(K22&lt;0,K22&gt;90),IF(ISNUMBER(H22)=TRUE,H22=INT(H22*1)/1=FALSE),IF(ISNUMBER(K22)=TRUE,K22=INT(K22*1)/1=FALSE),AND(L22&lt;&gt;"",M22=0),AND(L22="",M22&gt;0),ISNUMBER(N22)=FALSE ),"Error","")</f>
        <v/>
      </c>
    </row>
    <row r="23" spans="2:18" s="34" customFormat="1" x14ac:dyDescent="0.4">
      <c r="B23" s="14" t="s">
        <v>172</v>
      </c>
      <c r="C23" s="19" t="s">
        <v>20</v>
      </c>
      <c r="D23" s="42" t="str">
        <f t="shared" ref="D23:D31" si="18">IFERROR(IF(VLOOKUP(C23,PartnerN°Ref,2,FALSE)=0,"",VLOOKUP(C23,PartnerN°Ref,2,FALSE)),"")</f>
        <v>Startit Centar</v>
      </c>
      <c r="E23" s="42" t="str">
        <f t="shared" ref="E23:E31" si="19">IFERROR(IF(OR(VLOOKUP(C23,PartnerN°Ref,4,FALSE)="Country not found",VLOOKUP(C23,PartnerN°Ref,3,FALSE)=0),"",VLOOKUP(C23,PartnerN°Ref,3,FALSE)),"")</f>
        <v>Serbia</v>
      </c>
      <c r="F23" s="18" t="s">
        <v>379</v>
      </c>
      <c r="G23" s="78" t="s">
        <v>210</v>
      </c>
      <c r="H23" s="79">
        <v>4</v>
      </c>
      <c r="I23" s="18" t="s">
        <v>381</v>
      </c>
      <c r="J23" s="14" t="s">
        <v>149</v>
      </c>
      <c r="K23" s="79">
        <v>3</v>
      </c>
      <c r="L23" s="92" t="s">
        <v>347</v>
      </c>
      <c r="M23" s="93">
        <v>3000</v>
      </c>
      <c r="N23" s="37">
        <f>IF(AND(M23&gt;0,L23&lt;&gt;""),IF(M23&gt;(ROUND( (ROUND(ROUND(H23,0)*(VLOOKUP(J23,TravelCosts,2,FALSE)),2))/0.65,2)),ROUND(M23*0.8,2),"covered by unit cost"),0)</f>
        <v>2400</v>
      </c>
      <c r="O23" s="37">
        <f>IF(OR(AND(L23&lt;&gt;"",M23&gt;0,ISNUMBER(N23)),R23="Error"),0,ROUND(ROUND(H23,0)*(VLOOKUP(J23,TravelCosts,2,FALSE)),2))</f>
        <v>0</v>
      </c>
      <c r="P23" s="37">
        <f>IF(R23="Error",0,IF(AND(G23="Staff",K23&gt;0,K23&lt;15),(120*K23)*H23,IF(AND(G23="Staff",K23&gt;14,K23&lt;61),(1680+((K23-14)*70))*H23,IF(AND(G23="Staff",K23&gt;60,K23&lt;91),(4900+((K23-60)*50))*H23,IF(AND(G23="Student",K23&gt;0,K23&lt;15),(55*K23)*H23,IF(AND(G23="Student",K23&gt;14,K23&lt;91),(770+((K23-14)*40))*H23,0))))))</f>
        <v>660</v>
      </c>
      <c r="Q23" s="38">
        <f>IFERROR(N23+O23+P23,O23+P23)</f>
        <v>3060</v>
      </c>
      <c r="R23" s="91" t="str">
        <f>IF(OR(COUNTIF(WorkPackage,B23)=0,COUNTIF(PartnerN°,C23)=0,D23="",COUNTIF(CountryALL,E23)=0,F23="",COUNTIF(Category2,G23)=0,ISNUMBER(H23)=FALSE,H23&lt;=0,I23="",COUNTIF(TravelBands,J23)=0,ISNUMBER(K23)=FALSE,OR(K23&lt;0,K23&gt;90),IF(ISNUMBER(H23)=TRUE,H23=INT(H23*1)/1=FALSE),IF(ISNUMBER(K23)=TRUE,K23=INT(K23*1)/1=FALSE),AND(L23&lt;&gt;"",M23=0),AND(L23="",M23&gt;0),ISNUMBER(N23)=FALSE ),"Error","")</f>
        <v/>
      </c>
    </row>
    <row r="24" spans="2:18" s="34" customFormat="1" x14ac:dyDescent="0.4">
      <c r="B24" s="14" t="s">
        <v>172</v>
      </c>
      <c r="C24" s="19" t="s">
        <v>20</v>
      </c>
      <c r="D24" s="42" t="str">
        <f t="shared" ref="D24" si="20">IFERROR(IF(VLOOKUP(C24,PartnerN°Ref,2,FALSE)=0,"",VLOOKUP(C24,PartnerN°Ref,2,FALSE)),"")</f>
        <v>Startit Centar</v>
      </c>
      <c r="E24" s="42" t="str">
        <f t="shared" ref="E24" si="21">IFERROR(IF(OR(VLOOKUP(C24,PartnerN°Ref,4,FALSE)="Country not found",VLOOKUP(C24,PartnerN°Ref,3,FALSE)=0),"",VLOOKUP(C24,PartnerN°Ref,3,FALSE)),"")</f>
        <v>Serbia</v>
      </c>
      <c r="F24" s="18" t="s">
        <v>379</v>
      </c>
      <c r="G24" s="78" t="s">
        <v>208</v>
      </c>
      <c r="H24" s="79">
        <v>2</v>
      </c>
      <c r="I24" s="18" t="s">
        <v>381</v>
      </c>
      <c r="J24" s="14" t="s">
        <v>149</v>
      </c>
      <c r="K24" s="79">
        <v>3</v>
      </c>
      <c r="L24" s="92" t="s">
        <v>347</v>
      </c>
      <c r="M24" s="93">
        <v>3000</v>
      </c>
      <c r="N24" s="37">
        <f>IF(AND(M24&gt;0,L24&lt;&gt;""),IF(M24&gt;(ROUND( (ROUND(ROUND(H24,0)*(VLOOKUP(J24,TravelCosts,2,FALSE)),2))/0.65,2)),ROUND(M24*0.8,2),"covered by unit cost"),0)</f>
        <v>2400</v>
      </c>
      <c r="O24" s="37">
        <f>IF(OR(AND(L24&lt;&gt;"",M24&gt;0,ISNUMBER(N24)),R24="Error"),0,ROUND(ROUND(H24,0)*(VLOOKUP(J24,TravelCosts,2,FALSE)),2))</f>
        <v>0</v>
      </c>
      <c r="P24" s="37">
        <f>IF(R24="Error",0,IF(AND(G24="Staff",K24&gt;0,K24&lt;15),(120*K24)*H24,IF(AND(G24="Staff",K24&gt;14,K24&lt;61),(1680+((K24-14)*70))*H24,IF(AND(G24="Staff",K24&gt;60,K24&lt;91),(4900+((K24-60)*50))*H24,IF(AND(G24="Student",K24&gt;0,K24&lt;15),(55*K24)*H24,IF(AND(G24="Student",K24&gt;14,K24&lt;91),(770+((K24-14)*40))*H24,0))))))</f>
        <v>720</v>
      </c>
      <c r="Q24" s="38">
        <f>IFERROR(N24+O24+P24,O24+P24)</f>
        <v>3120</v>
      </c>
      <c r="R24" s="91" t="str">
        <f>IF(OR(COUNTIF(WorkPackage,B24)=0,COUNTIF(PartnerN°,C24)=0,D24="",COUNTIF(CountryALL,E24)=0,F24="",COUNTIF(Category2,G24)=0,ISNUMBER(H24)=FALSE,H24&lt;=0,I24="",COUNTIF(TravelBands,J24)=0,ISNUMBER(K24)=FALSE,OR(K24&lt;0,K24&gt;90),IF(ISNUMBER(H24)=TRUE,H24=INT(H24*1)/1=FALSE),IF(ISNUMBER(K24)=TRUE,K24=INT(K24*1)/1=FALSE),AND(L24&lt;&gt;"",M24=0),AND(L24="",M24&gt;0),ISNUMBER(N24)=FALSE ),"Error","")</f>
        <v/>
      </c>
    </row>
    <row r="25" spans="2:18" s="34" customFormat="1" x14ac:dyDescent="0.4">
      <c r="B25" s="14" t="s">
        <v>172</v>
      </c>
      <c r="C25" s="19" t="s">
        <v>9</v>
      </c>
      <c r="D25" s="42" t="str">
        <f t="shared" si="18"/>
        <v xml:space="preserve">Univerzitet u Beogradu, Matematički fakultet </v>
      </c>
      <c r="E25" s="42" t="str">
        <f t="shared" si="19"/>
        <v>Serbia</v>
      </c>
      <c r="F25" s="18" t="s">
        <v>379</v>
      </c>
      <c r="G25" s="78" t="s">
        <v>210</v>
      </c>
      <c r="H25" s="79">
        <v>4</v>
      </c>
      <c r="I25" s="18" t="s">
        <v>382</v>
      </c>
      <c r="J25" s="14" t="s">
        <v>150</v>
      </c>
      <c r="K25" s="79">
        <v>3</v>
      </c>
      <c r="L25" s="92" t="s">
        <v>347</v>
      </c>
      <c r="M25" s="93">
        <v>3000</v>
      </c>
      <c r="N25" s="37">
        <f>IF(AND(M25&gt;0,L25&lt;&gt;""),IF(M25&gt;(ROUND( (ROUND(ROUND(H25,0)*(VLOOKUP(J25,TravelCosts,2,FALSE)),2))/0.65,2)),ROUND(M25*0.8,2),"covered by unit cost"),0)</f>
        <v>2400</v>
      </c>
      <c r="O25" s="37">
        <f>IF(OR(AND(L25&lt;&gt;"",M25&gt;0,ISNUMBER(N25)),R25="Error"),0,ROUND(ROUND(H25,0)*(VLOOKUP(J25,TravelCosts,2,FALSE)),2))</f>
        <v>0</v>
      </c>
      <c r="P25" s="37">
        <f>IF(R25="Error",0,IF(AND(G25="Staff",K25&gt;0,K25&lt;15),(120*K25)*H25,IF(AND(G25="Staff",K25&gt;14,K25&lt;61),(1680+((K25-14)*70))*H25,IF(AND(G25="Staff",K25&gt;60,K25&lt;91),(4900+((K25-60)*50))*H25,IF(AND(G25="Student",K25&gt;0,K25&lt;15),(55*K25)*H25,IF(AND(G25="Student",K25&gt;14,K25&lt;91),(770+((K25-14)*40))*H25,0))))))</f>
        <v>660</v>
      </c>
      <c r="Q25" s="38">
        <f>IFERROR(N25+O25+P25,O25+P25)</f>
        <v>3060</v>
      </c>
      <c r="R25" s="91" t="str">
        <f>IF(OR(COUNTIF(WorkPackage,B25)=0,COUNTIF(PartnerN°,C25)=0,D25="",COUNTIF(CountryALL,E25)=0,F25="",COUNTIF(Category2,G25)=0,ISNUMBER(H25)=FALSE,H25&lt;=0,I25="",COUNTIF(TravelBands,J25)=0,ISNUMBER(K25)=FALSE,OR(K25&lt;0,K25&gt;90),IF(ISNUMBER(H25)=TRUE,H25=INT(H25*1)/1=FALSE),IF(ISNUMBER(K25)=TRUE,K25=INT(K25*1)/1=FALSE),AND(L25&lt;&gt;"",M25=0),AND(L25="",M25&gt;0),ISNUMBER(N25)=FALSE ),"Error","")</f>
        <v/>
      </c>
    </row>
    <row r="26" spans="2:18" s="34" customFormat="1" x14ac:dyDescent="0.4">
      <c r="B26" s="14" t="s">
        <v>172</v>
      </c>
      <c r="C26" s="19" t="s">
        <v>9</v>
      </c>
      <c r="D26" s="42" t="str">
        <f t="shared" ref="D26" si="22">IFERROR(IF(VLOOKUP(C26,PartnerN°Ref,2,FALSE)=0,"",VLOOKUP(C26,PartnerN°Ref,2,FALSE)),"")</f>
        <v xml:space="preserve">Univerzitet u Beogradu, Matematički fakultet </v>
      </c>
      <c r="E26" s="42" t="str">
        <f t="shared" ref="E26" si="23">IFERROR(IF(OR(VLOOKUP(C26,PartnerN°Ref,4,FALSE)="Country not found",VLOOKUP(C26,PartnerN°Ref,3,FALSE)=0),"",VLOOKUP(C26,PartnerN°Ref,3,FALSE)),"")</f>
        <v>Serbia</v>
      </c>
      <c r="F26" s="18" t="s">
        <v>379</v>
      </c>
      <c r="G26" s="78" t="s">
        <v>208</v>
      </c>
      <c r="H26" s="79">
        <v>2</v>
      </c>
      <c r="I26" s="18" t="s">
        <v>382</v>
      </c>
      <c r="J26" s="14" t="s">
        <v>150</v>
      </c>
      <c r="K26" s="79">
        <v>3</v>
      </c>
      <c r="L26" s="92" t="s">
        <v>347</v>
      </c>
      <c r="M26" s="93">
        <v>3000</v>
      </c>
      <c r="N26" s="37">
        <f>IF(AND(M26&gt;0,L26&lt;&gt;""),IF(M26&gt;(ROUND( (ROUND(ROUND(H26,0)*(VLOOKUP(J26,TravelCosts,2,FALSE)),2))/0.65,2)),ROUND(M26*0.8,2),"covered by unit cost"),0)</f>
        <v>2400</v>
      </c>
      <c r="O26" s="37">
        <f>IF(OR(AND(L26&lt;&gt;"",M26&gt;0,ISNUMBER(N26)),R26="Error"),0,ROUND(ROUND(H26,0)*(VLOOKUP(J26,TravelCosts,2,FALSE)),2))</f>
        <v>0</v>
      </c>
      <c r="P26" s="37">
        <f>IF(R26="Error",0,IF(AND(G26="Staff",K26&gt;0,K26&lt;15),(120*K26)*H26,IF(AND(G26="Staff",K26&gt;14,K26&lt;61),(1680+((K26-14)*70))*H26,IF(AND(G26="Staff",K26&gt;60,K26&lt;91),(4900+((K26-60)*50))*H26,IF(AND(G26="Student",K26&gt;0,K26&lt;15),(55*K26)*H26,IF(AND(G26="Student",K26&gt;14,K26&lt;91),(770+((K26-14)*40))*H26,0))))))</f>
        <v>720</v>
      </c>
      <c r="Q26" s="38">
        <f>IFERROR(N26+O26+P26,O26+P26)</f>
        <v>3120</v>
      </c>
      <c r="R26" s="91" t="str">
        <f>IF(OR(COUNTIF(WorkPackage,B26)=0,COUNTIF(PartnerN°,C26)=0,D26="",COUNTIF(CountryALL,E26)=0,F26="",COUNTIF(Category2,G26)=0,ISNUMBER(H26)=FALSE,H26&lt;=0,I26="",COUNTIF(TravelBands,J26)=0,ISNUMBER(K26)=FALSE,OR(K26&lt;0,K26&gt;90),IF(ISNUMBER(H26)=TRUE,H26=INT(H26*1)/1=FALSE),IF(ISNUMBER(K26)=TRUE,K26=INT(K26*1)/1=FALSE),AND(L26&lt;&gt;"",M26=0),AND(L26="",M26&gt;0),ISNUMBER(N26)=FALSE ),"Error","")</f>
        <v/>
      </c>
    </row>
    <row r="27" spans="2:18" s="34" customFormat="1" x14ac:dyDescent="0.4">
      <c r="B27" s="14" t="s">
        <v>172</v>
      </c>
      <c r="C27" s="19" t="s">
        <v>12</v>
      </c>
      <c r="D27" s="42" t="str">
        <f t="shared" si="18"/>
        <v>ICT Hub Beograd</v>
      </c>
      <c r="E27" s="42" t="str">
        <f t="shared" si="19"/>
        <v>Serbia</v>
      </c>
      <c r="F27" s="18" t="s">
        <v>379</v>
      </c>
      <c r="G27" s="78" t="s">
        <v>210</v>
      </c>
      <c r="H27" s="79">
        <v>4</v>
      </c>
      <c r="I27" s="18" t="s">
        <v>382</v>
      </c>
      <c r="J27" s="14" t="s">
        <v>150</v>
      </c>
      <c r="K27" s="79">
        <v>3</v>
      </c>
      <c r="L27" s="92" t="s">
        <v>347</v>
      </c>
      <c r="M27" s="93">
        <v>3000</v>
      </c>
      <c r="N27" s="37">
        <f>IF(AND(M27&gt;0,L27&lt;&gt;""),IF(M27&gt;(ROUND( (ROUND(ROUND(H27,0)*(VLOOKUP(J27,TravelCosts,2,FALSE)),2))/0.65,2)),ROUND(M27*0.8,2),"covered by unit cost"),0)</f>
        <v>2400</v>
      </c>
      <c r="O27" s="37">
        <f>IF(OR(AND(L27&lt;&gt;"",M27&gt;0,ISNUMBER(N27)),R27="Error"),0,ROUND(ROUND(H27,0)*(VLOOKUP(J27,TravelCosts,2,FALSE)),2))</f>
        <v>0</v>
      </c>
      <c r="P27" s="37">
        <f>IF(R27="Error",0,IF(AND(G27="Staff",K27&gt;0,K27&lt;15),(120*K27)*H27,IF(AND(G27="Staff",K27&gt;14,K27&lt;61),(1680+((K27-14)*70))*H27,IF(AND(G27="Staff",K27&gt;60,K27&lt;91),(4900+((K27-60)*50))*H27,IF(AND(G27="Student",K27&gt;0,K27&lt;15),(55*K27)*H27,IF(AND(G27="Student",K27&gt;14,K27&lt;91),(770+((K27-14)*40))*H27,0))))))</f>
        <v>660</v>
      </c>
      <c r="Q27" s="38">
        <f>IFERROR(N27+O27+P27,O27+P27)</f>
        <v>3060</v>
      </c>
      <c r="R27" s="91" t="str">
        <f>IF(OR(COUNTIF(WorkPackage,B27)=0,COUNTIF(PartnerN°,C27)=0,D27="",COUNTIF(CountryALL,E27)=0,F27="",COUNTIF(Category2,G27)=0,ISNUMBER(H27)=FALSE,H27&lt;=0,I27="",COUNTIF(TravelBands,J27)=0,ISNUMBER(K27)=FALSE,OR(K27&lt;0,K27&gt;90),IF(ISNUMBER(H27)=TRUE,H27=INT(H27*1)/1=FALSE),IF(ISNUMBER(K27)=TRUE,K27=INT(K27*1)/1=FALSE),AND(L27&lt;&gt;"",M27=0),AND(L27="",M27&gt;0),ISNUMBER(N27)=FALSE ),"Error","")</f>
        <v/>
      </c>
    </row>
    <row r="28" spans="2:18" s="34" customFormat="1" x14ac:dyDescent="0.4">
      <c r="B28" s="14" t="s">
        <v>172</v>
      </c>
      <c r="C28" s="19" t="s">
        <v>12</v>
      </c>
      <c r="D28" s="42" t="str">
        <f t="shared" ref="D28" si="24">IFERROR(IF(VLOOKUP(C28,PartnerN°Ref,2,FALSE)=0,"",VLOOKUP(C28,PartnerN°Ref,2,FALSE)),"")</f>
        <v>ICT Hub Beograd</v>
      </c>
      <c r="E28" s="42" t="str">
        <f t="shared" ref="E28" si="25">IFERROR(IF(OR(VLOOKUP(C28,PartnerN°Ref,4,FALSE)="Country not found",VLOOKUP(C28,PartnerN°Ref,3,FALSE)=0),"",VLOOKUP(C28,PartnerN°Ref,3,FALSE)),"")</f>
        <v>Serbia</v>
      </c>
      <c r="F28" s="18" t="s">
        <v>379</v>
      </c>
      <c r="G28" s="78" t="s">
        <v>208</v>
      </c>
      <c r="H28" s="79">
        <v>2</v>
      </c>
      <c r="I28" s="18" t="s">
        <v>382</v>
      </c>
      <c r="J28" s="14" t="s">
        <v>150</v>
      </c>
      <c r="K28" s="79">
        <v>3</v>
      </c>
      <c r="L28" s="92" t="s">
        <v>347</v>
      </c>
      <c r="M28" s="93">
        <v>3000</v>
      </c>
      <c r="N28" s="37">
        <f>IF(AND(M28&gt;0,L28&lt;&gt;""),IF(M28&gt;(ROUND( (ROUND(ROUND(H28,0)*(VLOOKUP(J28,TravelCosts,2,FALSE)),2))/0.65,2)),ROUND(M28*0.8,2),"covered by unit cost"),0)</f>
        <v>2400</v>
      </c>
      <c r="O28" s="37">
        <f>IF(OR(AND(L28&lt;&gt;"",M28&gt;0,ISNUMBER(N28)),R28="Error"),0,ROUND(ROUND(H28,0)*(VLOOKUP(J28,TravelCosts,2,FALSE)),2))</f>
        <v>0</v>
      </c>
      <c r="P28" s="37">
        <f>IF(R28="Error",0,IF(AND(G28="Staff",K28&gt;0,K28&lt;15),(120*K28)*H28,IF(AND(G28="Staff",K28&gt;14,K28&lt;61),(1680+((K28-14)*70))*H28,IF(AND(G28="Staff",K28&gt;60,K28&lt;91),(4900+((K28-60)*50))*H28,IF(AND(G28="Student",K28&gt;0,K28&lt;15),(55*K28)*H28,IF(AND(G28="Student",K28&gt;14,K28&lt;91),(770+((K28-14)*40))*H28,0))))))</f>
        <v>720</v>
      </c>
      <c r="Q28" s="38">
        <f>IFERROR(N28+O28+P28,O28+P28)</f>
        <v>3120</v>
      </c>
      <c r="R28" s="91" t="str">
        <f>IF(OR(COUNTIF(WorkPackage,B28)=0,COUNTIF(PartnerN°,C28)=0,D28="",COUNTIF(CountryALL,E28)=0,F28="",COUNTIF(Category2,G28)=0,ISNUMBER(H28)=FALSE,H28&lt;=0,I28="",COUNTIF(TravelBands,J28)=0,ISNUMBER(K28)=FALSE,OR(K28&lt;0,K28&gt;90),IF(ISNUMBER(H28)=TRUE,H28=INT(H28*1)/1=FALSE),IF(ISNUMBER(K28)=TRUE,K28=INT(K28*1)/1=FALSE),AND(L28&lt;&gt;"",M28=0),AND(L28="",M28&gt;0),ISNUMBER(N28)=FALSE ),"Error","")</f>
        <v/>
      </c>
    </row>
    <row r="29" spans="2:18" s="34" customFormat="1" x14ac:dyDescent="0.4">
      <c r="B29" s="14" t="s">
        <v>172</v>
      </c>
      <c r="C29" s="19" t="s">
        <v>15</v>
      </c>
      <c r="D29" s="42" t="str">
        <f t="shared" si="18"/>
        <v>Fakultet tehničkih nauka, Univerzitet u Novom Sadu</v>
      </c>
      <c r="E29" s="42" t="str">
        <f t="shared" si="19"/>
        <v>Serbia</v>
      </c>
      <c r="F29" s="18" t="s">
        <v>379</v>
      </c>
      <c r="G29" s="78" t="s">
        <v>210</v>
      </c>
      <c r="H29" s="79">
        <v>4</v>
      </c>
      <c r="I29" s="18" t="s">
        <v>382</v>
      </c>
      <c r="J29" s="14" t="s">
        <v>150</v>
      </c>
      <c r="K29" s="79">
        <v>3</v>
      </c>
      <c r="L29" s="92" t="s">
        <v>347</v>
      </c>
      <c r="M29" s="93">
        <v>3000</v>
      </c>
      <c r="N29" s="37">
        <f>IF(AND(M29&gt;0,L29&lt;&gt;""),IF(M29&gt;(ROUND( (ROUND(ROUND(H29,0)*(VLOOKUP(J29,TravelCosts,2,FALSE)),2))/0.65,2)),ROUND(M29*0.8,2),"covered by unit cost"),0)</f>
        <v>2400</v>
      </c>
      <c r="O29" s="37">
        <f>IF(OR(AND(L29&lt;&gt;"",M29&gt;0,ISNUMBER(N29)),R29="Error"),0,ROUND(ROUND(H29,0)*(VLOOKUP(J29,TravelCosts,2,FALSE)),2))</f>
        <v>0</v>
      </c>
      <c r="P29" s="37">
        <f>IF(R29="Error",0,IF(AND(G29="Staff",K29&gt;0,K29&lt;15),(120*K29)*H29,IF(AND(G29="Staff",K29&gt;14,K29&lt;61),(1680+((K29-14)*70))*H29,IF(AND(G29="Staff",K29&gt;60,K29&lt;91),(4900+((K29-60)*50))*H29,IF(AND(G29="Student",K29&gt;0,K29&lt;15),(55*K29)*H29,IF(AND(G29="Student",K29&gt;14,K29&lt;91),(770+((K29-14)*40))*H29,0))))))</f>
        <v>660</v>
      </c>
      <c r="Q29" s="38">
        <f>IFERROR(N29+O29+P29,O29+P29)</f>
        <v>3060</v>
      </c>
      <c r="R29" s="91" t="str">
        <f>IF(OR(COUNTIF(WorkPackage,B29)=0,COUNTIF(PartnerN°,C29)=0,D29="",COUNTIF(CountryALL,E29)=0,F29="",COUNTIF(Category2,G29)=0,ISNUMBER(H29)=FALSE,H29&lt;=0,I29="",COUNTIF(TravelBands,J29)=0,ISNUMBER(K29)=FALSE,OR(K29&lt;0,K29&gt;90),IF(ISNUMBER(H29)=TRUE,H29=INT(H29*1)/1=FALSE),IF(ISNUMBER(K29)=TRUE,K29=INT(K29*1)/1=FALSE),AND(L29&lt;&gt;"",M29=0),AND(L29="",M29&gt;0),ISNUMBER(N29)=FALSE ),"Error","")</f>
        <v/>
      </c>
    </row>
    <row r="30" spans="2:18" s="34" customFormat="1" x14ac:dyDescent="0.4">
      <c r="B30" s="14" t="s">
        <v>172</v>
      </c>
      <c r="C30" s="19" t="s">
        <v>15</v>
      </c>
      <c r="D30" s="42" t="str">
        <f t="shared" ref="D30" si="26">IFERROR(IF(VLOOKUP(C30,PartnerN°Ref,2,FALSE)=0,"",VLOOKUP(C30,PartnerN°Ref,2,FALSE)),"")</f>
        <v>Fakultet tehničkih nauka, Univerzitet u Novom Sadu</v>
      </c>
      <c r="E30" s="42" t="str">
        <f t="shared" ref="E30" si="27">IFERROR(IF(OR(VLOOKUP(C30,PartnerN°Ref,4,FALSE)="Country not found",VLOOKUP(C30,PartnerN°Ref,3,FALSE)=0),"",VLOOKUP(C30,PartnerN°Ref,3,FALSE)),"")</f>
        <v>Serbia</v>
      </c>
      <c r="F30" s="18" t="s">
        <v>379</v>
      </c>
      <c r="G30" s="78" t="s">
        <v>208</v>
      </c>
      <c r="H30" s="79">
        <v>2</v>
      </c>
      <c r="I30" s="18" t="s">
        <v>382</v>
      </c>
      <c r="J30" s="14" t="s">
        <v>150</v>
      </c>
      <c r="K30" s="79">
        <v>3</v>
      </c>
      <c r="L30" s="92" t="s">
        <v>347</v>
      </c>
      <c r="M30" s="93">
        <v>3000</v>
      </c>
      <c r="N30" s="37">
        <f>IF(AND(M30&gt;0,L30&lt;&gt;""),IF(M30&gt;(ROUND( (ROUND(ROUND(H30,0)*(VLOOKUP(J30,TravelCosts,2,FALSE)),2))/0.65,2)),ROUND(M30*0.8,2),"covered by unit cost"),0)</f>
        <v>2400</v>
      </c>
      <c r="O30" s="37">
        <f>IF(OR(AND(L30&lt;&gt;"",M30&gt;0,ISNUMBER(N30)),R30="Error"),0,ROUND(ROUND(H30,0)*(VLOOKUP(J30,TravelCosts,2,FALSE)),2))</f>
        <v>0</v>
      </c>
      <c r="P30" s="37">
        <f>IF(R30="Error",0,IF(AND(G30="Staff",K30&gt;0,K30&lt;15),(120*K30)*H30,IF(AND(G30="Staff",K30&gt;14,K30&lt;61),(1680+((K30-14)*70))*H30,IF(AND(G30="Staff",K30&gt;60,K30&lt;91),(4900+((K30-60)*50))*H30,IF(AND(G30="Student",K30&gt;0,K30&lt;15),(55*K30)*H30,IF(AND(G30="Student",K30&gt;14,K30&lt;91),(770+((K30-14)*40))*H30,0))))))</f>
        <v>720</v>
      </c>
      <c r="Q30" s="38">
        <f>IFERROR(N30+O30+P30,O30+P30)</f>
        <v>3120</v>
      </c>
      <c r="R30" s="91" t="str">
        <f>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4">
      <c r="B31" s="14" t="s">
        <v>172</v>
      </c>
      <c r="C31" s="19" t="s">
        <v>18</v>
      </c>
      <c r="D31" s="42" t="str">
        <f t="shared" si="18"/>
        <v>Univerzitet u Nišu, Elektronski fakultet</v>
      </c>
      <c r="E31" s="42" t="str">
        <f t="shared" si="19"/>
        <v>Serbia</v>
      </c>
      <c r="F31" s="18" t="s">
        <v>379</v>
      </c>
      <c r="G31" s="78" t="s">
        <v>210</v>
      </c>
      <c r="H31" s="79">
        <v>4</v>
      </c>
      <c r="I31" s="18" t="s">
        <v>382</v>
      </c>
      <c r="J31" s="14" t="s">
        <v>150</v>
      </c>
      <c r="K31" s="79">
        <v>3</v>
      </c>
      <c r="L31" s="92" t="s">
        <v>347</v>
      </c>
      <c r="M31" s="93">
        <v>3000</v>
      </c>
      <c r="N31" s="37">
        <f>IF(AND(M31&gt;0,L31&lt;&gt;""),IF(M31&gt;(ROUND( (ROUND(ROUND(H31,0)*(VLOOKUP(J31,TravelCosts,2,FALSE)),2))/0.65,2)),ROUND(M31*0.8,2),"covered by unit cost"),0)</f>
        <v>2400</v>
      </c>
      <c r="O31" s="37">
        <f>IF(OR(AND(L31&lt;&gt;"",M31&gt;0,ISNUMBER(N31)),R31="Error"),0,ROUND(ROUND(H31,0)*(VLOOKUP(J31,TravelCosts,2,FALSE)),2))</f>
        <v>0</v>
      </c>
      <c r="P31" s="37">
        <f>IF(R31="Error",0,IF(AND(G31="Staff",K31&gt;0,K31&lt;15),(120*K31)*H31,IF(AND(G31="Staff",K31&gt;14,K31&lt;61),(1680+((K31-14)*70))*H31,IF(AND(G31="Staff",K31&gt;60,K31&lt;91),(4900+((K31-60)*50))*H31,IF(AND(G31="Student",K31&gt;0,K31&lt;15),(55*K31)*H31,IF(AND(G31="Student",K31&gt;14,K31&lt;91),(770+((K31-14)*40))*H31,0))))))</f>
        <v>660</v>
      </c>
      <c r="Q31" s="38">
        <f>IFERROR(N31+O31+P31,O31+P31)</f>
        <v>3060</v>
      </c>
      <c r="R31" s="91" t="str">
        <f>IF(OR(COUNTIF(WorkPackage,B31)=0,COUNTIF(PartnerN°,C31)=0,D31="",COUNTIF(CountryALL,E31)=0,F31="",COUNTIF(Category2,G31)=0,ISNUMBER(H31)=FALSE,H31&lt;=0,I31="",COUNTIF(TravelBands,J31)=0,ISNUMBER(K31)=FALSE,OR(K31&lt;0,K31&gt;90),IF(ISNUMBER(H31)=TRUE,H31=INT(H31*1)/1=FALSE),IF(ISNUMBER(K31)=TRUE,K31=INT(K31*1)/1=FALSE),AND(L31&lt;&gt;"",M31=0),AND(L31="",M31&gt;0),ISNUMBER(N31)=FALSE ),"Error","")</f>
        <v/>
      </c>
    </row>
    <row r="32" spans="2:18" s="34" customFormat="1" x14ac:dyDescent="0.4">
      <c r="B32" s="14" t="s">
        <v>172</v>
      </c>
      <c r="C32" s="19" t="s">
        <v>18</v>
      </c>
      <c r="D32" s="42" t="str">
        <f t="shared" ref="D32" si="28">IFERROR(IF(VLOOKUP(C32,PartnerN°Ref,2,FALSE)=0,"",VLOOKUP(C32,PartnerN°Ref,2,FALSE)),"")</f>
        <v>Univerzitet u Nišu, Elektronski fakultet</v>
      </c>
      <c r="E32" s="42" t="str">
        <f t="shared" ref="E32" si="29">IFERROR(IF(OR(VLOOKUP(C32,PartnerN°Ref,4,FALSE)="Country not found",VLOOKUP(C32,PartnerN°Ref,3,FALSE)=0),"",VLOOKUP(C32,PartnerN°Ref,3,FALSE)),"")</f>
        <v>Serbia</v>
      </c>
      <c r="F32" s="18" t="s">
        <v>379</v>
      </c>
      <c r="G32" s="78" t="s">
        <v>208</v>
      </c>
      <c r="H32" s="79">
        <v>2</v>
      </c>
      <c r="I32" s="18" t="s">
        <v>382</v>
      </c>
      <c r="J32" s="14" t="s">
        <v>150</v>
      </c>
      <c r="K32" s="79">
        <v>3</v>
      </c>
      <c r="L32" s="92" t="s">
        <v>347</v>
      </c>
      <c r="M32" s="93">
        <v>3000</v>
      </c>
      <c r="N32" s="37">
        <f>IF(AND(M32&gt;0,L32&lt;&gt;""),IF(M32&gt;(ROUND( (ROUND(ROUND(H32,0)*(VLOOKUP(J32,TravelCosts,2,FALSE)),2))/0.65,2)),ROUND(M32*0.8,2),"covered by unit cost"),0)</f>
        <v>2400</v>
      </c>
      <c r="O32" s="37">
        <f>IF(OR(AND(L32&lt;&gt;"",M32&gt;0,ISNUMBER(N32)),R32="Error"),0,ROUND(ROUND(H32,0)*(VLOOKUP(J32,TravelCosts,2,FALSE)),2))</f>
        <v>0</v>
      </c>
      <c r="P32" s="37">
        <f>IF(R32="Error",0,IF(AND(G32="Staff",K32&gt;0,K32&lt;15),(120*K32)*H32,IF(AND(G32="Staff",K32&gt;14,K32&lt;61),(1680+((K32-14)*70))*H32,IF(AND(G32="Staff",K32&gt;60,K32&lt;91),(4900+((K32-60)*50))*H32,IF(AND(G32="Student",K32&gt;0,K32&lt;15),(55*K32)*H32,IF(AND(G32="Student",K32&gt;14,K32&lt;91),(770+((K32-14)*40))*H32,0))))))</f>
        <v>720</v>
      </c>
      <c r="Q32" s="38">
        <f>IFERROR(N32+O32+P32,O32+P32)</f>
        <v>3120</v>
      </c>
      <c r="R32" s="91" t="str">
        <f>IF(OR(COUNTIF(WorkPackage,B32)=0,COUNTIF(PartnerN°,C32)=0,D32="",COUNTIF(CountryALL,E32)=0,F32="",COUNTIF(Category2,G32)=0,ISNUMBER(H32)=FALSE,H32&lt;=0,I32="",COUNTIF(TravelBands,J32)=0,ISNUMBER(K32)=FALSE,OR(K32&lt;0,K32&gt;90),IF(ISNUMBER(H32)=TRUE,H32=INT(H32*1)/1=FALSE),IF(ISNUMBER(K32)=TRUE,K32=INT(K32*1)/1=FALSE),AND(L32&lt;&gt;"",M32=0),AND(L32="",M32&gt;0),ISNUMBER(N32)=FALSE ),"Error","")</f>
        <v/>
      </c>
    </row>
    <row r="33" spans="2:18" s="34" customFormat="1" x14ac:dyDescent="0.4">
      <c r="B33" s="14" t="s">
        <v>172</v>
      </c>
      <c r="C33" s="19" t="s">
        <v>20</v>
      </c>
      <c r="D33" s="42" t="str">
        <f t="shared" ref="D33:D41" si="30">IFERROR(IF(VLOOKUP(C33,PartnerN°Ref,2,FALSE)=0,"",VLOOKUP(C33,PartnerN°Ref,2,FALSE)),"")</f>
        <v>Startit Centar</v>
      </c>
      <c r="E33" s="42" t="str">
        <f t="shared" ref="E33:E41" si="31">IFERROR(IF(OR(VLOOKUP(C33,PartnerN°Ref,4,FALSE)="Country not found",VLOOKUP(C33,PartnerN°Ref,3,FALSE)=0),"",VLOOKUP(C33,PartnerN°Ref,3,FALSE)),"")</f>
        <v>Serbia</v>
      </c>
      <c r="F33" s="18" t="s">
        <v>379</v>
      </c>
      <c r="G33" s="78" t="s">
        <v>210</v>
      </c>
      <c r="H33" s="79">
        <v>4</v>
      </c>
      <c r="I33" s="18" t="s">
        <v>382</v>
      </c>
      <c r="J33" s="14" t="s">
        <v>150</v>
      </c>
      <c r="K33" s="79">
        <v>3</v>
      </c>
      <c r="L33" s="92" t="s">
        <v>347</v>
      </c>
      <c r="M33" s="93">
        <v>3000</v>
      </c>
      <c r="N33" s="37">
        <f>IF(AND(M33&gt;0,L33&lt;&gt;""),IF(M33&gt;(ROUND( (ROUND(ROUND(H33,0)*(VLOOKUP(J33,TravelCosts,2,FALSE)),2))/0.65,2)),ROUND(M33*0.8,2),"covered by unit cost"),0)</f>
        <v>2400</v>
      </c>
      <c r="O33" s="37">
        <f>IF(OR(AND(L33&lt;&gt;"",M33&gt;0,ISNUMBER(N33)),R33="Error"),0,ROUND(ROUND(H33,0)*(VLOOKUP(J33,TravelCosts,2,FALSE)),2))</f>
        <v>0</v>
      </c>
      <c r="P33" s="37">
        <f>IF(R33="Error",0,IF(AND(G33="Staff",K33&gt;0,K33&lt;15),(120*K33)*H33,IF(AND(G33="Staff",K33&gt;14,K33&lt;61),(1680+((K33-14)*70))*H33,IF(AND(G33="Staff",K33&gt;60,K33&lt;91),(4900+((K33-60)*50))*H33,IF(AND(G33="Student",K33&gt;0,K33&lt;15),(55*K33)*H33,IF(AND(G33="Student",K33&gt;14,K33&lt;91),(770+((K33-14)*40))*H33,0))))))</f>
        <v>660</v>
      </c>
      <c r="Q33" s="38">
        <f>IFERROR(N33+O33+P33,O33+P33)</f>
        <v>3060</v>
      </c>
      <c r="R33" s="91" t="str">
        <f>IF(OR(COUNTIF(WorkPackage,B33)=0,COUNTIF(PartnerN°,C33)=0,D33="",COUNTIF(CountryALL,E33)=0,F33="",COUNTIF(Category2,G33)=0,ISNUMBER(H33)=FALSE,H33&lt;=0,I33="",COUNTIF(TravelBands,J33)=0,ISNUMBER(K33)=FALSE,OR(K33&lt;0,K33&gt;90),IF(ISNUMBER(H33)=TRUE,H33=INT(H33*1)/1=FALSE),IF(ISNUMBER(K33)=TRUE,K33=INT(K33*1)/1=FALSE),AND(L33&lt;&gt;"",M33=0),AND(L33="",M33&gt;0),ISNUMBER(N33)=FALSE ),"Error","")</f>
        <v/>
      </c>
    </row>
    <row r="34" spans="2:18" s="34" customFormat="1" x14ac:dyDescent="0.4">
      <c r="B34" s="14" t="s">
        <v>172</v>
      </c>
      <c r="C34" s="19" t="s">
        <v>20</v>
      </c>
      <c r="D34" s="42" t="str">
        <f t="shared" ref="D34" si="32">IFERROR(IF(VLOOKUP(C34,PartnerN°Ref,2,FALSE)=0,"",VLOOKUP(C34,PartnerN°Ref,2,FALSE)),"")</f>
        <v>Startit Centar</v>
      </c>
      <c r="E34" s="42" t="str">
        <f t="shared" ref="E34" si="33">IFERROR(IF(OR(VLOOKUP(C34,PartnerN°Ref,4,FALSE)="Country not found",VLOOKUP(C34,PartnerN°Ref,3,FALSE)=0),"",VLOOKUP(C34,PartnerN°Ref,3,FALSE)),"")</f>
        <v>Serbia</v>
      </c>
      <c r="F34" s="18" t="s">
        <v>379</v>
      </c>
      <c r="G34" s="78" t="s">
        <v>208</v>
      </c>
      <c r="H34" s="79">
        <v>2</v>
      </c>
      <c r="I34" s="18" t="s">
        <v>382</v>
      </c>
      <c r="J34" s="14" t="s">
        <v>150</v>
      </c>
      <c r="K34" s="79">
        <v>3</v>
      </c>
      <c r="L34" s="92" t="s">
        <v>347</v>
      </c>
      <c r="M34" s="93">
        <v>3000</v>
      </c>
      <c r="N34" s="37">
        <f>IF(AND(M34&gt;0,L34&lt;&gt;""),IF(M34&gt;(ROUND( (ROUND(ROUND(H34,0)*(VLOOKUP(J34,TravelCosts,2,FALSE)),2))/0.65,2)),ROUND(M34*0.8,2),"covered by unit cost"),0)</f>
        <v>2400</v>
      </c>
      <c r="O34" s="37">
        <f>IF(OR(AND(L34&lt;&gt;"",M34&gt;0,ISNUMBER(N34)),R34="Error"),0,ROUND(ROUND(H34,0)*(VLOOKUP(J34,TravelCosts,2,FALSE)),2))</f>
        <v>0</v>
      </c>
      <c r="P34" s="37">
        <f>IF(R34="Error",0,IF(AND(G34="Staff",K34&gt;0,K34&lt;15),(120*K34)*H34,IF(AND(G34="Staff",K34&gt;14,K34&lt;61),(1680+((K34-14)*70))*H34,IF(AND(G34="Staff",K34&gt;60,K34&lt;91),(4900+((K34-60)*50))*H34,IF(AND(G34="Student",K34&gt;0,K34&lt;15),(55*K34)*H34,IF(AND(G34="Student",K34&gt;14,K34&lt;91),(770+((K34-14)*40))*H34,0))))))</f>
        <v>720</v>
      </c>
      <c r="Q34" s="38">
        <f>IFERROR(N34+O34+P34,O34+P34)</f>
        <v>3120</v>
      </c>
      <c r="R34" s="91" t="str">
        <f>IF(OR(COUNTIF(WorkPackage,B34)=0,COUNTIF(PartnerN°,C34)=0,D34="",COUNTIF(CountryALL,E34)=0,F34="",COUNTIF(Category2,G34)=0,ISNUMBER(H34)=FALSE,H34&lt;=0,I34="",COUNTIF(TravelBands,J34)=0,ISNUMBER(K34)=FALSE,OR(K34&lt;0,K34&gt;90),IF(ISNUMBER(H34)=TRUE,H34=INT(H34*1)/1=FALSE),IF(ISNUMBER(K34)=TRUE,K34=INT(K34*1)/1=FALSE),AND(L34&lt;&gt;"",M34=0),AND(L34="",M34&gt;0),ISNUMBER(N34)=FALSE ),"Error","")</f>
        <v/>
      </c>
    </row>
    <row r="35" spans="2:18" s="34" customFormat="1" x14ac:dyDescent="0.4">
      <c r="B35" s="14" t="s">
        <v>172</v>
      </c>
      <c r="C35" s="19" t="s">
        <v>9</v>
      </c>
      <c r="D35" s="42" t="str">
        <f t="shared" si="30"/>
        <v xml:space="preserve">Univerzitet u Beogradu, Matematički fakultet </v>
      </c>
      <c r="E35" s="42" t="str">
        <f t="shared" si="31"/>
        <v>Serbia</v>
      </c>
      <c r="F35" s="18" t="s">
        <v>379</v>
      </c>
      <c r="G35" s="78" t="s">
        <v>210</v>
      </c>
      <c r="H35" s="79">
        <v>4</v>
      </c>
      <c r="I35" s="18" t="s">
        <v>382</v>
      </c>
      <c r="J35" s="14" t="s">
        <v>150</v>
      </c>
      <c r="K35" s="79">
        <v>3</v>
      </c>
      <c r="L35" s="92" t="s">
        <v>347</v>
      </c>
      <c r="M35" s="93">
        <v>3000</v>
      </c>
      <c r="N35" s="37">
        <f>IF(AND(M35&gt;0,L35&lt;&gt;""),IF(M35&gt;(ROUND( (ROUND(ROUND(H35,0)*(VLOOKUP(J35,TravelCosts,2,FALSE)),2))/0.65,2)),ROUND(M35*0.8,2),"covered by unit cost"),0)</f>
        <v>2400</v>
      </c>
      <c r="O35" s="37">
        <f>IF(OR(AND(L35&lt;&gt;"",M35&gt;0,ISNUMBER(N35)),R35="Error"),0,ROUND(ROUND(H35,0)*(VLOOKUP(J35,TravelCosts,2,FALSE)),2))</f>
        <v>0</v>
      </c>
      <c r="P35" s="37">
        <f>IF(R35="Error",0,IF(AND(G35="Staff",K35&gt;0,K35&lt;15),(120*K35)*H35,IF(AND(G35="Staff",K35&gt;14,K35&lt;61),(1680+((K35-14)*70))*H35,IF(AND(G35="Staff",K35&gt;60,K35&lt;91),(4900+((K35-60)*50))*H35,IF(AND(G35="Student",K35&gt;0,K35&lt;15),(55*K35)*H35,IF(AND(G35="Student",K35&gt;14,K35&lt;91),(770+((K35-14)*40))*H35,0))))))</f>
        <v>660</v>
      </c>
      <c r="Q35" s="38">
        <f>IFERROR(N35+O35+P35,O35+P35)</f>
        <v>3060</v>
      </c>
      <c r="R35" s="91" t="str">
        <f>IF(OR(COUNTIF(WorkPackage,B35)=0,COUNTIF(PartnerN°,C35)=0,D35="",COUNTIF(CountryALL,E35)=0,F35="",COUNTIF(Category2,G35)=0,ISNUMBER(H35)=FALSE,H35&lt;=0,I35="",COUNTIF(TravelBands,J35)=0,ISNUMBER(K35)=FALSE,OR(K35&lt;0,K35&gt;90),IF(ISNUMBER(H35)=TRUE,H35=INT(H35*1)/1=FALSE),IF(ISNUMBER(K35)=TRUE,K35=INT(K35*1)/1=FALSE),AND(L35&lt;&gt;"",M35=0),AND(L35="",M35&gt;0),ISNUMBER(N35)=FALSE ),"Error","")</f>
        <v/>
      </c>
    </row>
    <row r="36" spans="2:18" s="34" customFormat="1" x14ac:dyDescent="0.4">
      <c r="B36" s="14" t="s">
        <v>172</v>
      </c>
      <c r="C36" s="19" t="s">
        <v>9</v>
      </c>
      <c r="D36" s="42" t="str">
        <f t="shared" ref="D36" si="34">IFERROR(IF(VLOOKUP(C36,PartnerN°Ref,2,FALSE)=0,"",VLOOKUP(C36,PartnerN°Ref,2,FALSE)),"")</f>
        <v xml:space="preserve">Univerzitet u Beogradu, Matematički fakultet </v>
      </c>
      <c r="E36" s="42" t="str">
        <f t="shared" ref="E36" si="35">IFERROR(IF(OR(VLOOKUP(C36,PartnerN°Ref,4,FALSE)="Country not found",VLOOKUP(C36,PartnerN°Ref,3,FALSE)=0),"",VLOOKUP(C36,PartnerN°Ref,3,FALSE)),"")</f>
        <v>Serbia</v>
      </c>
      <c r="F36" s="18" t="s">
        <v>379</v>
      </c>
      <c r="G36" s="78" t="s">
        <v>208</v>
      </c>
      <c r="H36" s="79">
        <v>2</v>
      </c>
      <c r="I36" s="18" t="s">
        <v>382</v>
      </c>
      <c r="J36" s="14" t="s">
        <v>150</v>
      </c>
      <c r="K36" s="79">
        <v>3</v>
      </c>
      <c r="L36" s="92" t="s">
        <v>347</v>
      </c>
      <c r="M36" s="93">
        <v>3000</v>
      </c>
      <c r="N36" s="37">
        <f>IF(AND(M36&gt;0,L36&lt;&gt;""),IF(M36&gt;(ROUND( (ROUND(ROUND(H36,0)*(VLOOKUP(J36,TravelCosts,2,FALSE)),2))/0.65,2)),ROUND(M36*0.8,2),"covered by unit cost"),0)</f>
        <v>2400</v>
      </c>
      <c r="O36" s="37">
        <f>IF(OR(AND(L36&lt;&gt;"",M36&gt;0,ISNUMBER(N36)),R36="Error"),0,ROUND(ROUND(H36,0)*(VLOOKUP(J36,TravelCosts,2,FALSE)),2))</f>
        <v>0</v>
      </c>
      <c r="P36" s="37">
        <f>IF(R36="Error",0,IF(AND(G36="Staff",K36&gt;0,K36&lt;15),(120*K36)*H36,IF(AND(G36="Staff",K36&gt;14,K36&lt;61),(1680+((K36-14)*70))*H36,IF(AND(G36="Staff",K36&gt;60,K36&lt;91),(4900+((K36-60)*50))*H36,IF(AND(G36="Student",K36&gt;0,K36&lt;15),(55*K36)*H36,IF(AND(G36="Student",K36&gt;14,K36&lt;91),(770+((K36-14)*40))*H36,0))))))</f>
        <v>720</v>
      </c>
      <c r="Q36" s="38">
        <f>IFERROR(N36+O36+P36,O36+P36)</f>
        <v>3120</v>
      </c>
      <c r="R36" s="91" t="str">
        <f>IF(OR(COUNTIF(WorkPackage,B36)=0,COUNTIF(PartnerN°,C36)=0,D36="",COUNTIF(CountryALL,E36)=0,F36="",COUNTIF(Category2,G36)=0,ISNUMBER(H36)=FALSE,H36&lt;=0,I36="",COUNTIF(TravelBands,J36)=0,ISNUMBER(K36)=FALSE,OR(K36&lt;0,K36&gt;90),IF(ISNUMBER(H36)=TRUE,H36=INT(H36*1)/1=FALSE),IF(ISNUMBER(K36)=TRUE,K36=INT(K36*1)/1=FALSE),AND(L36&lt;&gt;"",M36=0),AND(L36="",M36&gt;0),ISNUMBER(N36)=FALSE ),"Error","")</f>
        <v/>
      </c>
    </row>
    <row r="37" spans="2:18" s="34" customFormat="1" x14ac:dyDescent="0.4">
      <c r="B37" s="14" t="s">
        <v>172</v>
      </c>
      <c r="C37" s="19" t="s">
        <v>12</v>
      </c>
      <c r="D37" s="42" t="str">
        <f t="shared" si="30"/>
        <v>ICT Hub Beograd</v>
      </c>
      <c r="E37" s="42" t="str">
        <f t="shared" si="31"/>
        <v>Serbia</v>
      </c>
      <c r="F37" s="18" t="s">
        <v>379</v>
      </c>
      <c r="G37" s="78" t="s">
        <v>210</v>
      </c>
      <c r="H37" s="79">
        <v>4</v>
      </c>
      <c r="I37" s="18" t="s">
        <v>382</v>
      </c>
      <c r="J37" s="14" t="s">
        <v>150</v>
      </c>
      <c r="K37" s="79">
        <v>3</v>
      </c>
      <c r="L37" s="92" t="s">
        <v>347</v>
      </c>
      <c r="M37" s="93">
        <v>3000</v>
      </c>
      <c r="N37" s="37">
        <f>IF(AND(M37&gt;0,L37&lt;&gt;""),IF(M37&gt;(ROUND( (ROUND(ROUND(H37,0)*(VLOOKUP(J37,TravelCosts,2,FALSE)),2))/0.65,2)),ROUND(M37*0.8,2),"covered by unit cost"),0)</f>
        <v>2400</v>
      </c>
      <c r="O37" s="37">
        <f>IF(OR(AND(L37&lt;&gt;"",M37&gt;0,ISNUMBER(N37)),R37="Error"),0,ROUND(ROUND(H37,0)*(VLOOKUP(J37,TravelCosts,2,FALSE)),2))</f>
        <v>0</v>
      </c>
      <c r="P37" s="37">
        <f>IF(R37="Error",0,IF(AND(G37="Staff",K37&gt;0,K37&lt;15),(120*K37)*H37,IF(AND(G37="Staff",K37&gt;14,K37&lt;61),(1680+((K37-14)*70))*H37,IF(AND(G37="Staff",K37&gt;60,K37&lt;91),(4900+((K37-60)*50))*H37,IF(AND(G37="Student",K37&gt;0,K37&lt;15),(55*K37)*H37,IF(AND(G37="Student",K37&gt;14,K37&lt;91),(770+((K37-14)*40))*H37,0))))))</f>
        <v>660</v>
      </c>
      <c r="Q37" s="38">
        <f>IFERROR(N37+O37+P37,O37+P37)</f>
        <v>3060</v>
      </c>
      <c r="R37" s="91" t="str">
        <f>IF(OR(COUNTIF(WorkPackage,B37)=0,COUNTIF(PartnerN°,C37)=0,D37="",COUNTIF(CountryALL,E37)=0,F37="",COUNTIF(Category2,G37)=0,ISNUMBER(H37)=FALSE,H37&lt;=0,I37="",COUNTIF(TravelBands,J37)=0,ISNUMBER(K37)=FALSE,OR(K37&lt;0,K37&gt;90),IF(ISNUMBER(H37)=TRUE,H37=INT(H37*1)/1=FALSE),IF(ISNUMBER(K37)=TRUE,K37=INT(K37*1)/1=FALSE),AND(L37&lt;&gt;"",M37=0),AND(L37="",M37&gt;0),ISNUMBER(N37)=FALSE ),"Error","")</f>
        <v/>
      </c>
    </row>
    <row r="38" spans="2:18" s="34" customFormat="1" x14ac:dyDescent="0.4">
      <c r="B38" s="14" t="s">
        <v>172</v>
      </c>
      <c r="C38" s="19" t="s">
        <v>12</v>
      </c>
      <c r="D38" s="42" t="str">
        <f t="shared" ref="D38" si="36">IFERROR(IF(VLOOKUP(C38,PartnerN°Ref,2,FALSE)=0,"",VLOOKUP(C38,PartnerN°Ref,2,FALSE)),"")</f>
        <v>ICT Hub Beograd</v>
      </c>
      <c r="E38" s="42" t="str">
        <f t="shared" ref="E38" si="37">IFERROR(IF(OR(VLOOKUP(C38,PartnerN°Ref,4,FALSE)="Country not found",VLOOKUP(C38,PartnerN°Ref,3,FALSE)=0),"",VLOOKUP(C38,PartnerN°Ref,3,FALSE)),"")</f>
        <v>Serbia</v>
      </c>
      <c r="F38" s="18" t="s">
        <v>379</v>
      </c>
      <c r="G38" s="78" t="s">
        <v>208</v>
      </c>
      <c r="H38" s="79">
        <v>2</v>
      </c>
      <c r="I38" s="18" t="s">
        <v>382</v>
      </c>
      <c r="J38" s="14" t="s">
        <v>150</v>
      </c>
      <c r="K38" s="79">
        <v>3</v>
      </c>
      <c r="L38" s="92" t="s">
        <v>347</v>
      </c>
      <c r="M38" s="93">
        <v>3000</v>
      </c>
      <c r="N38" s="37">
        <f>IF(AND(M38&gt;0,L38&lt;&gt;""),IF(M38&gt;(ROUND( (ROUND(ROUND(H38,0)*(VLOOKUP(J38,TravelCosts,2,FALSE)),2))/0.65,2)),ROUND(M38*0.8,2),"covered by unit cost"),0)</f>
        <v>2400</v>
      </c>
      <c r="O38" s="37">
        <f>IF(OR(AND(L38&lt;&gt;"",M38&gt;0,ISNUMBER(N38)),R38="Error"),0,ROUND(ROUND(H38,0)*(VLOOKUP(J38,TravelCosts,2,FALSE)),2))</f>
        <v>0</v>
      </c>
      <c r="P38" s="37">
        <f>IF(R38="Error",0,IF(AND(G38="Staff",K38&gt;0,K38&lt;15),(120*K38)*H38,IF(AND(G38="Staff",K38&gt;14,K38&lt;61),(1680+((K38-14)*70))*H38,IF(AND(G38="Staff",K38&gt;60,K38&lt;91),(4900+((K38-60)*50))*H38,IF(AND(G38="Student",K38&gt;0,K38&lt;15),(55*K38)*H38,IF(AND(G38="Student",K38&gt;14,K38&lt;91),(770+((K38-14)*40))*H38,0))))))</f>
        <v>720</v>
      </c>
      <c r="Q38" s="38">
        <f>IFERROR(N38+O38+P38,O38+P38)</f>
        <v>3120</v>
      </c>
      <c r="R38" s="91" t="str">
        <f>IF(OR(COUNTIF(WorkPackage,B38)=0,COUNTIF(PartnerN°,C38)=0,D38="",COUNTIF(CountryALL,E38)=0,F38="",COUNTIF(Category2,G38)=0,ISNUMBER(H38)=FALSE,H38&lt;=0,I38="",COUNTIF(TravelBands,J38)=0,ISNUMBER(K38)=FALSE,OR(K38&lt;0,K38&gt;90),IF(ISNUMBER(H38)=TRUE,H38=INT(H38*1)/1=FALSE),IF(ISNUMBER(K38)=TRUE,K38=INT(K38*1)/1=FALSE),AND(L38&lt;&gt;"",M38=0),AND(L38="",M38&gt;0),ISNUMBER(N38)=FALSE ),"Error","")</f>
        <v/>
      </c>
    </row>
    <row r="39" spans="2:18" s="34" customFormat="1" x14ac:dyDescent="0.4">
      <c r="B39" s="14" t="s">
        <v>172</v>
      </c>
      <c r="C39" s="19" t="s">
        <v>15</v>
      </c>
      <c r="D39" s="42" t="str">
        <f t="shared" si="30"/>
        <v>Fakultet tehničkih nauka, Univerzitet u Novom Sadu</v>
      </c>
      <c r="E39" s="42" t="str">
        <f t="shared" si="31"/>
        <v>Serbia</v>
      </c>
      <c r="F39" s="18" t="s">
        <v>379</v>
      </c>
      <c r="G39" s="78" t="s">
        <v>210</v>
      </c>
      <c r="H39" s="79">
        <v>4</v>
      </c>
      <c r="I39" s="18" t="s">
        <v>382</v>
      </c>
      <c r="J39" s="14" t="s">
        <v>150</v>
      </c>
      <c r="K39" s="79">
        <v>3</v>
      </c>
      <c r="L39" s="92" t="s">
        <v>347</v>
      </c>
      <c r="M39" s="93">
        <v>3000</v>
      </c>
      <c r="N39" s="37">
        <f>IF(AND(M39&gt;0,L39&lt;&gt;""),IF(M39&gt;(ROUND( (ROUND(ROUND(H39,0)*(VLOOKUP(J39,TravelCosts,2,FALSE)),2))/0.65,2)),ROUND(M39*0.8,2),"covered by unit cost"),0)</f>
        <v>2400</v>
      </c>
      <c r="O39" s="37">
        <f>IF(OR(AND(L39&lt;&gt;"",M39&gt;0,ISNUMBER(N39)),R39="Error"),0,ROUND(ROUND(H39,0)*(VLOOKUP(J39,TravelCosts,2,FALSE)),2))</f>
        <v>0</v>
      </c>
      <c r="P39" s="37">
        <f>IF(R39="Error",0,IF(AND(G39="Staff",K39&gt;0,K39&lt;15),(120*K39)*H39,IF(AND(G39="Staff",K39&gt;14,K39&lt;61),(1680+((K39-14)*70))*H39,IF(AND(G39="Staff",K39&gt;60,K39&lt;91),(4900+((K39-60)*50))*H39,IF(AND(G39="Student",K39&gt;0,K39&lt;15),(55*K39)*H39,IF(AND(G39="Student",K39&gt;14,K39&lt;91),(770+((K39-14)*40))*H39,0))))))</f>
        <v>660</v>
      </c>
      <c r="Q39" s="38">
        <f>IFERROR(N39+O39+P39,O39+P39)</f>
        <v>3060</v>
      </c>
      <c r="R39" s="91" t="str">
        <f>IF(OR(COUNTIF(WorkPackage,B39)=0,COUNTIF(PartnerN°,C39)=0,D39="",COUNTIF(CountryALL,E39)=0,F39="",COUNTIF(Category2,G39)=0,ISNUMBER(H39)=FALSE,H39&lt;=0,I39="",COUNTIF(TravelBands,J39)=0,ISNUMBER(K39)=FALSE,OR(K39&lt;0,K39&gt;90),IF(ISNUMBER(H39)=TRUE,H39=INT(H39*1)/1=FALSE),IF(ISNUMBER(K39)=TRUE,K39=INT(K39*1)/1=FALSE),AND(L39&lt;&gt;"",M39=0),AND(L39="",M39&gt;0),ISNUMBER(N39)=FALSE ),"Error","")</f>
        <v/>
      </c>
    </row>
    <row r="40" spans="2:18" s="34" customFormat="1" x14ac:dyDescent="0.4">
      <c r="B40" s="14" t="s">
        <v>172</v>
      </c>
      <c r="C40" s="19" t="s">
        <v>15</v>
      </c>
      <c r="D40" s="42" t="str">
        <f t="shared" ref="D40" si="38">IFERROR(IF(VLOOKUP(C40,PartnerN°Ref,2,FALSE)=0,"",VLOOKUP(C40,PartnerN°Ref,2,FALSE)),"")</f>
        <v>Fakultet tehničkih nauka, Univerzitet u Novom Sadu</v>
      </c>
      <c r="E40" s="42" t="str">
        <f t="shared" ref="E40" si="39">IFERROR(IF(OR(VLOOKUP(C40,PartnerN°Ref,4,FALSE)="Country not found",VLOOKUP(C40,PartnerN°Ref,3,FALSE)=0),"",VLOOKUP(C40,PartnerN°Ref,3,FALSE)),"")</f>
        <v>Serbia</v>
      </c>
      <c r="F40" s="18" t="s">
        <v>379</v>
      </c>
      <c r="G40" s="78" t="s">
        <v>208</v>
      </c>
      <c r="H40" s="79">
        <v>2</v>
      </c>
      <c r="I40" s="18" t="s">
        <v>382</v>
      </c>
      <c r="J40" s="14" t="s">
        <v>150</v>
      </c>
      <c r="K40" s="79">
        <v>3</v>
      </c>
      <c r="L40" s="92" t="s">
        <v>347</v>
      </c>
      <c r="M40" s="93">
        <v>3000</v>
      </c>
      <c r="N40" s="37">
        <f>IF(AND(M40&gt;0,L40&lt;&gt;""),IF(M40&gt;(ROUND( (ROUND(ROUND(H40,0)*(VLOOKUP(J40,TravelCosts,2,FALSE)),2))/0.65,2)),ROUND(M40*0.8,2),"covered by unit cost"),0)</f>
        <v>2400</v>
      </c>
      <c r="O40" s="37">
        <f>IF(OR(AND(L40&lt;&gt;"",M40&gt;0,ISNUMBER(N40)),R40="Error"),0,ROUND(ROUND(H40,0)*(VLOOKUP(J40,TravelCosts,2,FALSE)),2))</f>
        <v>0</v>
      </c>
      <c r="P40" s="37">
        <f>IF(R40="Error",0,IF(AND(G40="Staff",K40&gt;0,K40&lt;15),(120*K40)*H40,IF(AND(G40="Staff",K40&gt;14,K40&lt;61),(1680+((K40-14)*70))*H40,IF(AND(G40="Staff",K40&gt;60,K40&lt;91),(4900+((K40-60)*50))*H40,IF(AND(G40="Student",K40&gt;0,K40&lt;15),(55*K40)*H40,IF(AND(G40="Student",K40&gt;14,K40&lt;91),(770+((K40-14)*40))*H40,0))))))</f>
        <v>720</v>
      </c>
      <c r="Q40" s="38">
        <f>IFERROR(N40+O40+P40,O40+P40)</f>
        <v>3120</v>
      </c>
      <c r="R40" s="91" t="str">
        <f>IF(OR(COUNTIF(WorkPackage,B40)=0,COUNTIF(PartnerN°,C40)=0,D40="",COUNTIF(CountryALL,E40)=0,F40="",COUNTIF(Category2,G40)=0,ISNUMBER(H40)=FALSE,H40&lt;=0,I40="",COUNTIF(TravelBands,J40)=0,ISNUMBER(K40)=FALSE,OR(K40&lt;0,K40&gt;90),IF(ISNUMBER(H40)=TRUE,H40=INT(H40*1)/1=FALSE),IF(ISNUMBER(K40)=TRUE,K40=INT(K40*1)/1=FALSE),AND(L40&lt;&gt;"",M40=0),AND(L40="",M40&gt;0),ISNUMBER(N40)=FALSE ),"Error","")</f>
        <v/>
      </c>
    </row>
    <row r="41" spans="2:18" s="34" customFormat="1" x14ac:dyDescent="0.4">
      <c r="B41" s="14" t="s">
        <v>172</v>
      </c>
      <c r="C41" s="19" t="s">
        <v>18</v>
      </c>
      <c r="D41" s="42" t="str">
        <f t="shared" si="30"/>
        <v>Univerzitet u Nišu, Elektronski fakultet</v>
      </c>
      <c r="E41" s="42" t="str">
        <f t="shared" si="31"/>
        <v>Serbia</v>
      </c>
      <c r="F41" s="18" t="s">
        <v>379</v>
      </c>
      <c r="G41" s="78" t="s">
        <v>210</v>
      </c>
      <c r="H41" s="79">
        <v>4</v>
      </c>
      <c r="I41" s="18" t="s">
        <v>382</v>
      </c>
      <c r="J41" s="14" t="s">
        <v>150</v>
      </c>
      <c r="K41" s="79">
        <v>3</v>
      </c>
      <c r="L41" s="92" t="s">
        <v>347</v>
      </c>
      <c r="M41" s="93">
        <v>3000</v>
      </c>
      <c r="N41" s="37">
        <f>IF(AND(M41&gt;0,L41&lt;&gt;""),IF(M41&gt;(ROUND( (ROUND(ROUND(H41,0)*(VLOOKUP(J41,TravelCosts,2,FALSE)),2))/0.65,2)),ROUND(M41*0.8,2),"covered by unit cost"),0)</f>
        <v>2400</v>
      </c>
      <c r="O41" s="37">
        <f>IF(OR(AND(L41&lt;&gt;"",M41&gt;0,ISNUMBER(N41)),R41="Error"),0,ROUND(ROUND(H41,0)*(VLOOKUP(J41,TravelCosts,2,FALSE)),2))</f>
        <v>0</v>
      </c>
      <c r="P41" s="37">
        <f>IF(R41="Error",0,IF(AND(G41="Staff",K41&gt;0,K41&lt;15),(120*K41)*H41,IF(AND(G41="Staff",K41&gt;14,K41&lt;61),(1680+((K41-14)*70))*H41,IF(AND(G41="Staff",K41&gt;60,K41&lt;91),(4900+((K41-60)*50))*H41,IF(AND(G41="Student",K41&gt;0,K41&lt;15),(55*K41)*H41,IF(AND(G41="Student",K41&gt;14,K41&lt;91),(770+((K41-14)*40))*H41,0))))))</f>
        <v>660</v>
      </c>
      <c r="Q41" s="38">
        <f>IFERROR(N41+O41+P41,O41+P41)</f>
        <v>3060</v>
      </c>
      <c r="R41" s="91" t="str">
        <f>IF(OR(COUNTIF(WorkPackage,B41)=0,COUNTIF(PartnerN°,C41)=0,D41="",COUNTIF(CountryALL,E41)=0,F41="",COUNTIF(Category2,G41)=0,ISNUMBER(H41)=FALSE,H41&lt;=0,I41="",COUNTIF(TravelBands,J41)=0,ISNUMBER(K41)=FALSE,OR(K41&lt;0,K41&gt;90),IF(ISNUMBER(H41)=TRUE,H41=INT(H41*1)/1=FALSE),IF(ISNUMBER(K41)=TRUE,K41=INT(K41*1)/1=FALSE),AND(L41&lt;&gt;"",M41=0),AND(L41="",M41&gt;0),ISNUMBER(N41)=FALSE ),"Error","")</f>
        <v/>
      </c>
    </row>
    <row r="42" spans="2:18" s="34" customFormat="1" x14ac:dyDescent="0.4">
      <c r="B42" s="14" t="s">
        <v>172</v>
      </c>
      <c r="C42" s="19" t="s">
        <v>18</v>
      </c>
      <c r="D42" s="42" t="str">
        <f t="shared" ref="D42" si="40">IFERROR(IF(VLOOKUP(C42,PartnerN°Ref,2,FALSE)=0,"",VLOOKUP(C42,PartnerN°Ref,2,FALSE)),"")</f>
        <v>Univerzitet u Nišu, Elektronski fakultet</v>
      </c>
      <c r="E42" s="42" t="str">
        <f t="shared" ref="E42" si="41">IFERROR(IF(OR(VLOOKUP(C42,PartnerN°Ref,4,FALSE)="Country not found",VLOOKUP(C42,PartnerN°Ref,3,FALSE)=0),"",VLOOKUP(C42,PartnerN°Ref,3,FALSE)),"")</f>
        <v>Serbia</v>
      </c>
      <c r="F42" s="18" t="s">
        <v>379</v>
      </c>
      <c r="G42" s="78" t="s">
        <v>208</v>
      </c>
      <c r="H42" s="79">
        <v>2</v>
      </c>
      <c r="I42" s="18" t="s">
        <v>382</v>
      </c>
      <c r="J42" s="14" t="s">
        <v>150</v>
      </c>
      <c r="K42" s="79">
        <v>3</v>
      </c>
      <c r="L42" s="92" t="s">
        <v>347</v>
      </c>
      <c r="M42" s="93">
        <v>3000</v>
      </c>
      <c r="N42" s="37">
        <f>IF(AND(M42&gt;0,L42&lt;&gt;""),IF(M42&gt;(ROUND( (ROUND(ROUND(H42,0)*(VLOOKUP(J42,TravelCosts,2,FALSE)),2))/0.65,2)),ROUND(M42*0.8,2),"covered by unit cost"),0)</f>
        <v>2400</v>
      </c>
      <c r="O42" s="37">
        <f>IF(OR(AND(L42&lt;&gt;"",M42&gt;0,ISNUMBER(N42)),R42="Error"),0,ROUND(ROUND(H42,0)*(VLOOKUP(J42,TravelCosts,2,FALSE)),2))</f>
        <v>0</v>
      </c>
      <c r="P42" s="37">
        <f>IF(R42="Error",0,IF(AND(G42="Staff",K42&gt;0,K42&lt;15),(120*K42)*H42,IF(AND(G42="Staff",K42&gt;14,K42&lt;61),(1680+((K42-14)*70))*H42,IF(AND(G42="Staff",K42&gt;60,K42&lt;91),(4900+((K42-60)*50))*H42,IF(AND(G42="Student",K42&gt;0,K42&lt;15),(55*K42)*H42,IF(AND(G42="Student",K42&gt;14,K42&lt;91),(770+((K42-14)*40))*H42,0))))))</f>
        <v>720</v>
      </c>
      <c r="Q42" s="38">
        <f>IFERROR(N42+O42+P42,O42+P42)</f>
        <v>3120</v>
      </c>
      <c r="R42" s="91" t="str">
        <f>IF(OR(COUNTIF(WorkPackage,B42)=0,COUNTIF(PartnerN°,C42)=0,D42="",COUNTIF(CountryALL,E42)=0,F42="",COUNTIF(Category2,G42)=0,ISNUMBER(H42)=FALSE,H42&lt;=0,I42="",COUNTIF(TravelBands,J42)=0,ISNUMBER(K42)=FALSE,OR(K42&lt;0,K42&gt;90),IF(ISNUMBER(H42)=TRUE,H42=INT(H42*1)/1=FALSE),IF(ISNUMBER(K42)=TRUE,K42=INT(K42*1)/1=FALSE),AND(L42&lt;&gt;"",M42=0),AND(L42="",M42&gt;0),ISNUMBER(N42)=FALSE ),"Error","")</f>
        <v/>
      </c>
    </row>
    <row r="43" spans="2:18" s="34" customFormat="1" x14ac:dyDescent="0.4">
      <c r="B43" s="14" t="s">
        <v>172</v>
      </c>
      <c r="C43" s="19" t="s">
        <v>20</v>
      </c>
      <c r="D43" s="42" t="str">
        <f t="shared" ref="D43:D50" si="42">IFERROR(IF(VLOOKUP(C43,PartnerN°Ref,2,FALSE)=0,"",VLOOKUP(C43,PartnerN°Ref,2,FALSE)),"")</f>
        <v>Startit Centar</v>
      </c>
      <c r="E43" s="42" t="str">
        <f t="shared" ref="E43:E50" si="43">IFERROR(IF(OR(VLOOKUP(C43,PartnerN°Ref,4,FALSE)="Country not found",VLOOKUP(C43,PartnerN°Ref,3,FALSE)=0),"",VLOOKUP(C43,PartnerN°Ref,3,FALSE)),"")</f>
        <v>Serbia</v>
      </c>
      <c r="F43" s="18" t="s">
        <v>379</v>
      </c>
      <c r="G43" s="78" t="s">
        <v>210</v>
      </c>
      <c r="H43" s="79">
        <v>4</v>
      </c>
      <c r="I43" s="18" t="s">
        <v>382</v>
      </c>
      <c r="J43" s="14" t="s">
        <v>150</v>
      </c>
      <c r="K43" s="79">
        <v>3</v>
      </c>
      <c r="L43" s="92" t="s">
        <v>347</v>
      </c>
      <c r="M43" s="93">
        <v>3000</v>
      </c>
      <c r="N43" s="37">
        <f>IF(AND(M43&gt;0,L43&lt;&gt;""),IF(M43&gt;(ROUND( (ROUND(ROUND(H43,0)*(VLOOKUP(J43,TravelCosts,2,FALSE)),2))/0.65,2)),ROUND(M43*0.8,2),"covered by unit cost"),0)</f>
        <v>2400</v>
      </c>
      <c r="O43" s="37">
        <f>IF(OR(AND(L43&lt;&gt;"",M43&gt;0,ISNUMBER(N43)),R43="Error"),0,ROUND(ROUND(H43,0)*(VLOOKUP(J43,TravelCosts,2,FALSE)),2))</f>
        <v>0</v>
      </c>
      <c r="P43" s="37">
        <f>IF(R43="Error",0,IF(AND(G43="Staff",K43&gt;0,K43&lt;15),(120*K43)*H43,IF(AND(G43="Staff",K43&gt;14,K43&lt;61),(1680+((K43-14)*70))*H43,IF(AND(G43="Staff",K43&gt;60,K43&lt;91),(4900+((K43-60)*50))*H43,IF(AND(G43="Student",K43&gt;0,K43&lt;15),(55*K43)*H43,IF(AND(G43="Student",K43&gt;14,K43&lt;91),(770+((K43-14)*40))*H43,0))))))</f>
        <v>660</v>
      </c>
      <c r="Q43" s="38">
        <f>IFERROR(N43+O43+P43,O43+P43)</f>
        <v>3060</v>
      </c>
      <c r="R43" s="91" t="str">
        <f>IF(OR(COUNTIF(WorkPackage,B43)=0,COUNTIF(PartnerN°,C43)=0,D43="",COUNTIF(CountryALL,E43)=0,F43="",COUNTIF(Category2,G43)=0,ISNUMBER(H43)=FALSE,H43&lt;=0,I43="",COUNTIF(TravelBands,J43)=0,ISNUMBER(K43)=FALSE,OR(K43&lt;0,K43&gt;90),IF(ISNUMBER(H43)=TRUE,H43=INT(H43*1)/1=FALSE),IF(ISNUMBER(K43)=TRUE,K43=INT(K43*1)/1=FALSE),AND(L43&lt;&gt;"",M43=0),AND(L43="",M43&gt;0),ISNUMBER(N43)=FALSE ),"Error","")</f>
        <v/>
      </c>
    </row>
    <row r="44" spans="2:18" s="34" customFormat="1" x14ac:dyDescent="0.4">
      <c r="B44" s="14" t="s">
        <v>172</v>
      </c>
      <c r="C44" s="19" t="s">
        <v>20</v>
      </c>
      <c r="D44" s="42" t="str">
        <f t="shared" ref="D44" si="44">IFERROR(IF(VLOOKUP(C44,PartnerN°Ref,2,FALSE)=0,"",VLOOKUP(C44,PartnerN°Ref,2,FALSE)),"")</f>
        <v>Startit Centar</v>
      </c>
      <c r="E44" s="42" t="str">
        <f t="shared" ref="E44" si="45">IFERROR(IF(OR(VLOOKUP(C44,PartnerN°Ref,4,FALSE)="Country not found",VLOOKUP(C44,PartnerN°Ref,3,FALSE)=0),"",VLOOKUP(C44,PartnerN°Ref,3,FALSE)),"")</f>
        <v>Serbia</v>
      </c>
      <c r="F44" s="18" t="s">
        <v>379</v>
      </c>
      <c r="G44" s="78" t="s">
        <v>208</v>
      </c>
      <c r="H44" s="79">
        <v>2</v>
      </c>
      <c r="I44" s="18" t="s">
        <v>382</v>
      </c>
      <c r="J44" s="14" t="s">
        <v>150</v>
      </c>
      <c r="K44" s="79">
        <v>3</v>
      </c>
      <c r="L44" s="92" t="s">
        <v>347</v>
      </c>
      <c r="M44" s="93">
        <v>3000</v>
      </c>
      <c r="N44" s="37">
        <f>IF(AND(M44&gt;0,L44&lt;&gt;""),IF(M44&gt;(ROUND( (ROUND(ROUND(H44,0)*(VLOOKUP(J44,TravelCosts,2,FALSE)),2))/0.65,2)),ROUND(M44*0.8,2),"covered by unit cost"),0)</f>
        <v>2400</v>
      </c>
      <c r="O44" s="37">
        <f>IF(OR(AND(L44&lt;&gt;"",M44&gt;0,ISNUMBER(N44)),R44="Error"),0,ROUND(ROUND(H44,0)*(VLOOKUP(J44,TravelCosts,2,FALSE)),2))</f>
        <v>0</v>
      </c>
      <c r="P44" s="37">
        <f>IF(R44="Error",0,IF(AND(G44="Staff",K44&gt;0,K44&lt;15),(120*K44)*H44,IF(AND(G44="Staff",K44&gt;14,K44&lt;61),(1680+((K44-14)*70))*H44,IF(AND(G44="Staff",K44&gt;60,K44&lt;91),(4900+((K44-60)*50))*H44,IF(AND(G44="Student",K44&gt;0,K44&lt;15),(55*K44)*H44,IF(AND(G44="Student",K44&gt;14,K44&lt;91),(770+((K44-14)*40))*H44,0))))))</f>
        <v>720</v>
      </c>
      <c r="Q44" s="38">
        <f>IFERROR(N44+O44+P44,O44+P44)</f>
        <v>3120</v>
      </c>
      <c r="R44" s="91" t="str">
        <f>IF(OR(COUNTIF(WorkPackage,B44)=0,COUNTIF(PartnerN°,C44)=0,D44="",COUNTIF(CountryALL,E44)=0,F44="",COUNTIF(Category2,G44)=0,ISNUMBER(H44)=FALSE,H44&lt;=0,I44="",COUNTIF(TravelBands,J44)=0,ISNUMBER(K44)=FALSE,OR(K44&lt;0,K44&gt;90),IF(ISNUMBER(H44)=TRUE,H44=INT(H44*1)/1=FALSE),IF(ISNUMBER(K44)=TRUE,K44=INT(K44*1)/1=FALSE),AND(L44&lt;&gt;"",M44=0),AND(L44="",M44&gt;0),ISNUMBER(N44)=FALSE ),"Error","")</f>
        <v/>
      </c>
    </row>
    <row r="45" spans="2:18" s="34" customFormat="1" x14ac:dyDescent="0.4">
      <c r="B45" s="14" t="s">
        <v>172</v>
      </c>
      <c r="C45" s="19" t="s">
        <v>9</v>
      </c>
      <c r="D45" s="42" t="str">
        <f t="shared" si="42"/>
        <v xml:space="preserve">Univerzitet u Beogradu, Matematički fakultet </v>
      </c>
      <c r="E45" s="42" t="str">
        <f t="shared" si="43"/>
        <v>Serbia</v>
      </c>
      <c r="F45" s="18" t="s">
        <v>379</v>
      </c>
      <c r="G45" s="78" t="s">
        <v>210</v>
      </c>
      <c r="H45" s="79">
        <v>4</v>
      </c>
      <c r="I45" s="18" t="s">
        <v>380</v>
      </c>
      <c r="J45" s="14" t="s">
        <v>150</v>
      </c>
      <c r="K45" s="79">
        <v>3</v>
      </c>
      <c r="L45" s="92" t="s">
        <v>347</v>
      </c>
      <c r="M45" s="93">
        <v>3000</v>
      </c>
      <c r="N45" s="37">
        <f>IF(AND(M45&gt;0,L45&lt;&gt;""),IF(M45&gt;(ROUND( (ROUND(ROUND(H45,0)*(VLOOKUP(J45,TravelCosts,2,FALSE)),2))/0.65,2)),ROUND(M45*0.8,2),"covered by unit cost"),0)</f>
        <v>2400</v>
      </c>
      <c r="O45" s="37">
        <f>IF(OR(AND(L45&lt;&gt;"",M45&gt;0,ISNUMBER(N45)),R45="Error"),0,ROUND(ROUND(H45,0)*(VLOOKUP(J45,TravelCosts,2,FALSE)),2))</f>
        <v>0</v>
      </c>
      <c r="P45" s="37">
        <f>IF(R45="Error",0,IF(AND(G45="Staff",K45&gt;0,K45&lt;15),(120*K45)*H45,IF(AND(G45="Staff",K45&gt;14,K45&lt;61),(1680+((K45-14)*70))*H45,IF(AND(G45="Staff",K45&gt;60,K45&lt;91),(4900+((K45-60)*50))*H45,IF(AND(G45="Student",K45&gt;0,K45&lt;15),(55*K45)*H45,IF(AND(G45="Student",K45&gt;14,K45&lt;91),(770+((K45-14)*40))*H45,0))))))</f>
        <v>660</v>
      </c>
      <c r="Q45" s="38">
        <f>IFERROR(N45+O45+P45,O45+P45)</f>
        <v>3060</v>
      </c>
      <c r="R45" s="91" t="str">
        <f>IF(OR(COUNTIF(WorkPackage,B45)=0,COUNTIF(PartnerN°,C45)=0,D45="",COUNTIF(CountryALL,E45)=0,F45="",COUNTIF(Category2,G45)=0,ISNUMBER(H45)=FALSE,H45&lt;=0,I45="",COUNTIF(TravelBands,J45)=0,ISNUMBER(K45)=FALSE,OR(K45&lt;0,K45&gt;90),IF(ISNUMBER(H45)=TRUE,H45=INT(H45*1)/1=FALSE),IF(ISNUMBER(K45)=TRUE,K45=INT(K45*1)/1=FALSE),AND(L45&lt;&gt;"",M45=0),AND(L45="",M45&gt;0),ISNUMBER(N45)=FALSE ),"Error","")</f>
        <v/>
      </c>
    </row>
    <row r="46" spans="2:18" s="34" customFormat="1" x14ac:dyDescent="0.4">
      <c r="B46" s="14" t="s">
        <v>172</v>
      </c>
      <c r="C46" s="19" t="s">
        <v>9</v>
      </c>
      <c r="D46" s="42" t="str">
        <f t="shared" ref="D46" si="46">IFERROR(IF(VLOOKUP(C46,PartnerN°Ref,2,FALSE)=0,"",VLOOKUP(C46,PartnerN°Ref,2,FALSE)),"")</f>
        <v xml:space="preserve">Univerzitet u Beogradu, Matematički fakultet </v>
      </c>
      <c r="E46" s="42" t="str">
        <f t="shared" ref="E46" si="47">IFERROR(IF(OR(VLOOKUP(C46,PartnerN°Ref,4,FALSE)="Country not found",VLOOKUP(C46,PartnerN°Ref,3,FALSE)=0),"",VLOOKUP(C46,PartnerN°Ref,3,FALSE)),"")</f>
        <v>Serbia</v>
      </c>
      <c r="F46" s="18" t="s">
        <v>379</v>
      </c>
      <c r="G46" s="78" t="s">
        <v>208</v>
      </c>
      <c r="H46" s="79">
        <v>2</v>
      </c>
      <c r="I46" s="18" t="s">
        <v>380</v>
      </c>
      <c r="J46" s="14" t="s">
        <v>150</v>
      </c>
      <c r="K46" s="79">
        <v>3</v>
      </c>
      <c r="L46" s="92" t="s">
        <v>347</v>
      </c>
      <c r="M46" s="93">
        <v>3000</v>
      </c>
      <c r="N46" s="37">
        <f>IF(AND(M46&gt;0,L46&lt;&gt;""),IF(M46&gt;(ROUND( (ROUND(ROUND(H46,0)*(VLOOKUP(J46,TravelCosts,2,FALSE)),2))/0.65,2)),ROUND(M46*0.8,2),"covered by unit cost"),0)</f>
        <v>2400</v>
      </c>
      <c r="O46" s="37">
        <f>IF(OR(AND(L46&lt;&gt;"",M46&gt;0,ISNUMBER(N46)),R46="Error"),0,ROUND(ROUND(H46,0)*(VLOOKUP(J46,TravelCosts,2,FALSE)),2))</f>
        <v>0</v>
      </c>
      <c r="P46" s="37">
        <f>IF(R46="Error",0,IF(AND(G46="Staff",K46&gt;0,K46&lt;15),(120*K46)*H46,IF(AND(G46="Staff",K46&gt;14,K46&lt;61),(1680+((K46-14)*70))*H46,IF(AND(G46="Staff",K46&gt;60,K46&lt;91),(4900+((K46-60)*50))*H46,IF(AND(G46="Student",K46&gt;0,K46&lt;15),(55*K46)*H46,IF(AND(G46="Student",K46&gt;14,K46&lt;91),(770+((K46-14)*40))*H46,0))))))</f>
        <v>720</v>
      </c>
      <c r="Q46" s="38">
        <f>IFERROR(N46+O46+P46,O46+P46)</f>
        <v>3120</v>
      </c>
      <c r="R46" s="91" t="str">
        <f>IF(OR(COUNTIF(WorkPackage,B46)=0,COUNTIF(PartnerN°,C46)=0,D46="",COUNTIF(CountryALL,E46)=0,F46="",COUNTIF(Category2,G46)=0,ISNUMBER(H46)=FALSE,H46&lt;=0,I46="",COUNTIF(TravelBands,J46)=0,ISNUMBER(K46)=FALSE,OR(K46&lt;0,K46&gt;90),IF(ISNUMBER(H46)=TRUE,H46=INT(H46*1)/1=FALSE),IF(ISNUMBER(K46)=TRUE,K46=INT(K46*1)/1=FALSE),AND(L46&lt;&gt;"",M46=0),AND(L46="",M46&gt;0),ISNUMBER(N46)=FALSE ),"Error","")</f>
        <v/>
      </c>
    </row>
    <row r="47" spans="2:18" s="34" customFormat="1" x14ac:dyDescent="0.4">
      <c r="B47" s="14" t="s">
        <v>172</v>
      </c>
      <c r="C47" s="19" t="s">
        <v>12</v>
      </c>
      <c r="D47" s="42" t="str">
        <f t="shared" si="42"/>
        <v>ICT Hub Beograd</v>
      </c>
      <c r="E47" s="42" t="str">
        <f t="shared" si="43"/>
        <v>Serbia</v>
      </c>
      <c r="F47" s="18" t="s">
        <v>379</v>
      </c>
      <c r="G47" s="78" t="s">
        <v>210</v>
      </c>
      <c r="H47" s="79">
        <v>4</v>
      </c>
      <c r="I47" s="18" t="s">
        <v>380</v>
      </c>
      <c r="J47" s="14" t="s">
        <v>150</v>
      </c>
      <c r="K47" s="79">
        <v>3</v>
      </c>
      <c r="L47" s="92" t="s">
        <v>347</v>
      </c>
      <c r="M47" s="93">
        <v>3000</v>
      </c>
      <c r="N47" s="37">
        <f>IF(AND(M47&gt;0,L47&lt;&gt;""),IF(M47&gt;(ROUND( (ROUND(ROUND(H47,0)*(VLOOKUP(J47,TravelCosts,2,FALSE)),2))/0.65,2)),ROUND(M47*0.8,2),"covered by unit cost"),0)</f>
        <v>2400</v>
      </c>
      <c r="O47" s="37">
        <f>IF(OR(AND(L47&lt;&gt;"",M47&gt;0,ISNUMBER(N47)),R47="Error"),0,ROUND(ROUND(H47,0)*(VLOOKUP(J47,TravelCosts,2,FALSE)),2))</f>
        <v>0</v>
      </c>
      <c r="P47" s="37">
        <f>IF(R47="Error",0,IF(AND(G47="Staff",K47&gt;0,K47&lt;15),(120*K47)*H47,IF(AND(G47="Staff",K47&gt;14,K47&lt;61),(1680+((K47-14)*70))*H47,IF(AND(G47="Staff",K47&gt;60,K47&lt;91),(4900+((K47-60)*50))*H47,IF(AND(G47="Student",K47&gt;0,K47&lt;15),(55*K47)*H47,IF(AND(G47="Student",K47&gt;14,K47&lt;91),(770+((K47-14)*40))*H47,0))))))</f>
        <v>660</v>
      </c>
      <c r="Q47" s="38">
        <f>IFERROR(N47+O47+P47,O47+P47)</f>
        <v>3060</v>
      </c>
      <c r="R47" s="91" t="str">
        <f>IF(OR(COUNTIF(WorkPackage,B47)=0,COUNTIF(PartnerN°,C47)=0,D47="",COUNTIF(CountryALL,E47)=0,F47="",COUNTIF(Category2,G47)=0,ISNUMBER(H47)=FALSE,H47&lt;=0,I47="",COUNTIF(TravelBands,J47)=0,ISNUMBER(K47)=FALSE,OR(K47&lt;0,K47&gt;90),IF(ISNUMBER(H47)=TRUE,H47=INT(H47*1)/1=FALSE),IF(ISNUMBER(K47)=TRUE,K47=INT(K47*1)/1=FALSE),AND(L47&lt;&gt;"",M47=0),AND(L47="",M47&gt;0),ISNUMBER(N47)=FALSE ),"Error","")</f>
        <v/>
      </c>
    </row>
    <row r="48" spans="2:18" s="34" customFormat="1" x14ac:dyDescent="0.4">
      <c r="B48" s="14" t="s">
        <v>172</v>
      </c>
      <c r="C48" s="19" t="s">
        <v>12</v>
      </c>
      <c r="D48" s="42" t="str">
        <f t="shared" ref="D48" si="48">IFERROR(IF(VLOOKUP(C48,PartnerN°Ref,2,FALSE)=0,"",VLOOKUP(C48,PartnerN°Ref,2,FALSE)),"")</f>
        <v>ICT Hub Beograd</v>
      </c>
      <c r="E48" s="42" t="str">
        <f t="shared" ref="E48" si="49">IFERROR(IF(OR(VLOOKUP(C48,PartnerN°Ref,4,FALSE)="Country not found",VLOOKUP(C48,PartnerN°Ref,3,FALSE)=0),"",VLOOKUP(C48,PartnerN°Ref,3,FALSE)),"")</f>
        <v>Serbia</v>
      </c>
      <c r="F48" s="18" t="s">
        <v>379</v>
      </c>
      <c r="G48" s="78" t="s">
        <v>208</v>
      </c>
      <c r="H48" s="79">
        <v>2</v>
      </c>
      <c r="I48" s="18" t="s">
        <v>380</v>
      </c>
      <c r="J48" s="14" t="s">
        <v>150</v>
      </c>
      <c r="K48" s="79">
        <v>3</v>
      </c>
      <c r="L48" s="92" t="s">
        <v>347</v>
      </c>
      <c r="M48" s="93">
        <v>3000</v>
      </c>
      <c r="N48" s="37">
        <f>IF(AND(M48&gt;0,L48&lt;&gt;""),IF(M48&gt;(ROUND( (ROUND(ROUND(H48,0)*(VLOOKUP(J48,TravelCosts,2,FALSE)),2))/0.65,2)),ROUND(M48*0.8,2),"covered by unit cost"),0)</f>
        <v>2400</v>
      </c>
      <c r="O48" s="37">
        <f>IF(OR(AND(L48&lt;&gt;"",M48&gt;0,ISNUMBER(N48)),R48="Error"),0,ROUND(ROUND(H48,0)*(VLOOKUP(J48,TravelCosts,2,FALSE)),2))</f>
        <v>0</v>
      </c>
      <c r="P48" s="37">
        <f>IF(R48="Error",0,IF(AND(G48="Staff",K48&gt;0,K48&lt;15),(120*K48)*H48,IF(AND(G48="Staff",K48&gt;14,K48&lt;61),(1680+((K48-14)*70))*H48,IF(AND(G48="Staff",K48&gt;60,K48&lt;91),(4900+((K48-60)*50))*H48,IF(AND(G48="Student",K48&gt;0,K48&lt;15),(55*K48)*H48,IF(AND(G48="Student",K48&gt;14,K48&lt;91),(770+((K48-14)*40))*H48,0))))))</f>
        <v>720</v>
      </c>
      <c r="Q48" s="38">
        <f>IFERROR(N48+O48+P48,O48+P48)</f>
        <v>3120</v>
      </c>
      <c r="R48" s="91" t="str">
        <f>IF(OR(COUNTIF(WorkPackage,B48)=0,COUNTIF(PartnerN°,C48)=0,D48="",COUNTIF(CountryALL,E48)=0,F48="",COUNTIF(Category2,G48)=0,ISNUMBER(H48)=FALSE,H48&lt;=0,I48="",COUNTIF(TravelBands,J48)=0,ISNUMBER(K48)=FALSE,OR(K48&lt;0,K48&gt;90),IF(ISNUMBER(H48)=TRUE,H48=INT(H48*1)/1=FALSE),IF(ISNUMBER(K48)=TRUE,K48=INT(K48*1)/1=FALSE),AND(L48&lt;&gt;"",M48=0),AND(L48="",M48&gt;0),ISNUMBER(N48)=FALSE ),"Error","")</f>
        <v/>
      </c>
    </row>
    <row r="49" spans="2:18" s="34" customFormat="1" x14ac:dyDescent="0.4">
      <c r="B49" s="14" t="s">
        <v>172</v>
      </c>
      <c r="C49" s="19" t="s">
        <v>15</v>
      </c>
      <c r="D49" s="42" t="str">
        <f t="shared" si="42"/>
        <v>Fakultet tehničkih nauka, Univerzitet u Novom Sadu</v>
      </c>
      <c r="E49" s="42" t="str">
        <f t="shared" si="43"/>
        <v>Serbia</v>
      </c>
      <c r="F49" s="18" t="s">
        <v>379</v>
      </c>
      <c r="G49" s="78" t="s">
        <v>210</v>
      </c>
      <c r="H49" s="79">
        <v>4</v>
      </c>
      <c r="I49" s="18" t="s">
        <v>380</v>
      </c>
      <c r="J49" s="14" t="s">
        <v>150</v>
      </c>
      <c r="K49" s="79">
        <v>3</v>
      </c>
      <c r="L49" s="92" t="s">
        <v>347</v>
      </c>
      <c r="M49" s="93">
        <v>3000</v>
      </c>
      <c r="N49" s="37">
        <f>IF(AND(M49&gt;0,L49&lt;&gt;""),IF(M49&gt;(ROUND( (ROUND(ROUND(H49,0)*(VLOOKUP(J49,TravelCosts,2,FALSE)),2))/0.65,2)),ROUND(M49*0.8,2),"covered by unit cost"),0)</f>
        <v>2400</v>
      </c>
      <c r="O49" s="37">
        <f>IF(OR(AND(L49&lt;&gt;"",M49&gt;0,ISNUMBER(N49)),R49="Error"),0,ROUND(ROUND(H49,0)*(VLOOKUP(J49,TravelCosts,2,FALSE)),2))</f>
        <v>0</v>
      </c>
      <c r="P49" s="37">
        <f>IF(R49="Error",0,IF(AND(G49="Staff",K49&gt;0,K49&lt;15),(120*K49)*H49,IF(AND(G49="Staff",K49&gt;14,K49&lt;61),(1680+((K49-14)*70))*H49,IF(AND(G49="Staff",K49&gt;60,K49&lt;91),(4900+((K49-60)*50))*H49,IF(AND(G49="Student",K49&gt;0,K49&lt;15),(55*K49)*H49,IF(AND(G49="Student",K49&gt;14,K49&lt;91),(770+((K49-14)*40))*H49,0))))))</f>
        <v>660</v>
      </c>
      <c r="Q49" s="38">
        <f>IFERROR(N49+O49+P49,O49+P49)</f>
        <v>3060</v>
      </c>
      <c r="R49" s="91" t="str">
        <f>IF(OR(COUNTIF(WorkPackage,B49)=0,COUNTIF(PartnerN°,C49)=0,D49="",COUNTIF(CountryALL,E49)=0,F49="",COUNTIF(Category2,G49)=0,ISNUMBER(H49)=FALSE,H49&lt;=0,I49="",COUNTIF(TravelBands,J49)=0,ISNUMBER(K49)=FALSE,OR(K49&lt;0,K49&gt;90),IF(ISNUMBER(H49)=TRUE,H49=INT(H49*1)/1=FALSE),IF(ISNUMBER(K49)=TRUE,K49=INT(K49*1)/1=FALSE),AND(L49&lt;&gt;"",M49=0),AND(L49="",M49&gt;0),ISNUMBER(N49)=FALSE ),"Error","")</f>
        <v/>
      </c>
    </row>
    <row r="50" spans="2:18" s="34" customFormat="1" x14ac:dyDescent="0.4">
      <c r="B50" s="14" t="s">
        <v>172</v>
      </c>
      <c r="C50" s="19" t="s">
        <v>18</v>
      </c>
      <c r="D50" s="42" t="str">
        <f t="shared" si="42"/>
        <v>Univerzitet u Nišu, Elektronski fakultet</v>
      </c>
      <c r="E50" s="42" t="str">
        <f t="shared" si="43"/>
        <v>Serbia</v>
      </c>
      <c r="F50" s="18" t="s">
        <v>379</v>
      </c>
      <c r="G50" s="78" t="s">
        <v>208</v>
      </c>
      <c r="H50" s="79">
        <v>2</v>
      </c>
      <c r="I50" s="18" t="s">
        <v>380</v>
      </c>
      <c r="J50" s="14" t="s">
        <v>150</v>
      </c>
      <c r="K50" s="79">
        <v>3</v>
      </c>
      <c r="L50" s="92" t="s">
        <v>347</v>
      </c>
      <c r="M50" s="93">
        <v>3000</v>
      </c>
      <c r="N50" s="37">
        <f>IF(AND(M50&gt;0,L50&lt;&gt;""),IF(M50&gt;(ROUND( (ROUND(ROUND(H50,0)*(VLOOKUP(J50,TravelCosts,2,FALSE)),2))/0.65,2)),ROUND(M50*0.8,2),"covered by unit cost"),0)</f>
        <v>2400</v>
      </c>
      <c r="O50" s="37">
        <f>IF(OR(AND(L50&lt;&gt;"",M50&gt;0,ISNUMBER(N50)),R50="Error"),0,ROUND(ROUND(H50,0)*(VLOOKUP(J50,TravelCosts,2,FALSE)),2))</f>
        <v>0</v>
      </c>
      <c r="P50" s="37">
        <f>IF(R50="Error",0,IF(AND(G50="Staff",K50&gt;0,K50&lt;15),(120*K50)*H50,IF(AND(G50="Staff",K50&gt;14,K50&lt;61),(1680+((K50-14)*70))*H50,IF(AND(G50="Staff",K50&gt;60,K50&lt;91),(4900+((K50-60)*50))*H50,IF(AND(G50="Student",K50&gt;0,K50&lt;15),(55*K50)*H50,IF(AND(G50="Student",K50&gt;14,K50&lt;91),(770+((K50-14)*40))*H50,0))))))</f>
        <v>720</v>
      </c>
      <c r="Q50" s="38">
        <f>IFERROR(N50+O50+P50,O50+P50)</f>
        <v>3120</v>
      </c>
      <c r="R50" s="91" t="str">
        <f>IF(OR(COUNTIF(WorkPackage,B50)=0,COUNTIF(PartnerN°,C50)=0,D50="",COUNTIF(CountryALL,E50)=0,F50="",COUNTIF(Category2,G50)=0,ISNUMBER(H50)=FALSE,H50&lt;=0,I50="",COUNTIF(TravelBands,J50)=0,ISNUMBER(K50)=FALSE,OR(K50&lt;0,K50&gt;90),IF(ISNUMBER(H50)=TRUE,H50=INT(H50*1)/1=FALSE),IF(ISNUMBER(K50)=TRUE,K50=INT(K50*1)/1=FALSE),AND(L50&lt;&gt;"",M50=0),AND(L50="",M50&gt;0),ISNUMBER(N50)=FALSE ),"Error","")</f>
        <v/>
      </c>
    </row>
    <row r="51" spans="2:18" s="34" customFormat="1" x14ac:dyDescent="0.4">
      <c r="B51" s="14" t="s">
        <v>172</v>
      </c>
      <c r="C51" s="19" t="s">
        <v>18</v>
      </c>
      <c r="D51" s="42" t="str">
        <f t="shared" ref="D51" si="50">IFERROR(IF(VLOOKUP(C51,PartnerN°Ref,2,FALSE)=0,"",VLOOKUP(C51,PartnerN°Ref,2,FALSE)),"")</f>
        <v>Univerzitet u Nišu, Elektronski fakultet</v>
      </c>
      <c r="E51" s="42" t="str">
        <f t="shared" ref="E51" si="51">IFERROR(IF(OR(VLOOKUP(C51,PartnerN°Ref,4,FALSE)="Country not found",VLOOKUP(C51,PartnerN°Ref,3,FALSE)=0),"",VLOOKUP(C51,PartnerN°Ref,3,FALSE)),"")</f>
        <v>Serbia</v>
      </c>
      <c r="F51" s="18" t="s">
        <v>379</v>
      </c>
      <c r="G51" s="78" t="s">
        <v>210</v>
      </c>
      <c r="H51" s="79">
        <v>4</v>
      </c>
      <c r="I51" s="18" t="s">
        <v>380</v>
      </c>
      <c r="J51" s="14" t="s">
        <v>150</v>
      </c>
      <c r="K51" s="79">
        <v>3</v>
      </c>
      <c r="L51" s="92" t="s">
        <v>347</v>
      </c>
      <c r="M51" s="93">
        <v>3000</v>
      </c>
      <c r="N51" s="37">
        <f>IF(AND(M51&gt;0,L51&lt;&gt;""),IF(M51&gt;(ROUND( (ROUND(ROUND(H51,0)*(VLOOKUP(J51,TravelCosts,2,FALSE)),2))/0.65,2)),ROUND(M51*0.8,2),"covered by unit cost"),0)</f>
        <v>2400</v>
      </c>
      <c r="O51" s="37">
        <f>IF(OR(AND(L51&lt;&gt;"",M51&gt;0,ISNUMBER(N51)),R51="Error"),0,ROUND(ROUND(H51,0)*(VLOOKUP(J51,TravelCosts,2,FALSE)),2))</f>
        <v>0</v>
      </c>
      <c r="P51" s="37">
        <f>IF(R51="Error",0,IF(AND(G51="Staff",K51&gt;0,K51&lt;15),(120*K51)*H51,IF(AND(G51="Staff",K51&gt;14,K51&lt;61),(1680+((K51-14)*70))*H51,IF(AND(G51="Staff",K51&gt;60,K51&lt;91),(4900+((K51-60)*50))*H51,IF(AND(G51="Student",K51&gt;0,K51&lt;15),(55*K51)*H51,IF(AND(G51="Student",K51&gt;14,K51&lt;91),(770+((K51-14)*40))*H51,0))))))</f>
        <v>660</v>
      </c>
      <c r="Q51" s="38">
        <f>IFERROR(N51+O51+P51,O51+P51)</f>
        <v>3060</v>
      </c>
      <c r="R51" s="91" t="str">
        <f>IF(OR(COUNTIF(WorkPackage,B51)=0,COUNTIF(PartnerN°,C51)=0,D51="",COUNTIF(CountryALL,E51)=0,F51="",COUNTIF(Category2,G51)=0,ISNUMBER(H51)=FALSE,H51&lt;=0,I51="",COUNTIF(TravelBands,J51)=0,ISNUMBER(K51)=FALSE,OR(K51&lt;0,K51&gt;90),IF(ISNUMBER(H51)=TRUE,H51=INT(H51*1)/1=FALSE),IF(ISNUMBER(K51)=TRUE,K51=INT(K51*1)/1=FALSE),AND(L51&lt;&gt;"",M51=0),AND(L51="",M51&gt;0),ISNUMBER(N51)=FALSE ),"Error","")</f>
        <v/>
      </c>
    </row>
    <row r="52" spans="2:18" s="34" customFormat="1" x14ac:dyDescent="0.4">
      <c r="B52" s="14" t="s">
        <v>172</v>
      </c>
      <c r="C52" s="19" t="s">
        <v>20</v>
      </c>
      <c r="D52" s="42" t="str">
        <f t="shared" ref="D52:D60" si="52">IFERROR(IF(VLOOKUP(C52,PartnerN°Ref,2,FALSE)=0,"",VLOOKUP(C52,PartnerN°Ref,2,FALSE)),"")</f>
        <v>Startit Centar</v>
      </c>
      <c r="E52" s="42" t="str">
        <f t="shared" ref="E52:E60" si="53">IFERROR(IF(OR(VLOOKUP(C52,PartnerN°Ref,4,FALSE)="Country not found",VLOOKUP(C52,PartnerN°Ref,3,FALSE)=0),"",VLOOKUP(C52,PartnerN°Ref,3,FALSE)),"")</f>
        <v>Serbia</v>
      </c>
      <c r="F52" s="18" t="s">
        <v>379</v>
      </c>
      <c r="G52" s="78" t="s">
        <v>208</v>
      </c>
      <c r="H52" s="79">
        <v>2</v>
      </c>
      <c r="I52" s="18" t="s">
        <v>380</v>
      </c>
      <c r="J52" s="14" t="s">
        <v>150</v>
      </c>
      <c r="K52" s="79">
        <v>3</v>
      </c>
      <c r="L52" s="92" t="s">
        <v>347</v>
      </c>
      <c r="M52" s="93">
        <v>3000</v>
      </c>
      <c r="N52" s="37">
        <f>IF(AND(M52&gt;0,L52&lt;&gt;""),IF(M52&gt;(ROUND( (ROUND(ROUND(H52,0)*(VLOOKUP(J52,TravelCosts,2,FALSE)),2))/0.65,2)),ROUND(M52*0.8,2),"covered by unit cost"),0)</f>
        <v>2400</v>
      </c>
      <c r="O52" s="37">
        <f>IF(OR(AND(L52&lt;&gt;"",M52&gt;0,ISNUMBER(N52)),R52="Error"),0,ROUND(ROUND(H52,0)*(VLOOKUP(J52,TravelCosts,2,FALSE)),2))</f>
        <v>0</v>
      </c>
      <c r="P52" s="37">
        <f>IF(R52="Error",0,IF(AND(G52="Staff",K52&gt;0,K52&lt;15),(120*K52)*H52,IF(AND(G52="Staff",K52&gt;14,K52&lt;61),(1680+((K52-14)*70))*H52,IF(AND(G52="Staff",K52&gt;60,K52&lt;91),(4900+((K52-60)*50))*H52,IF(AND(G52="Student",K52&gt;0,K52&lt;15),(55*K52)*H52,IF(AND(G52="Student",K52&gt;14,K52&lt;91),(770+((K52-14)*40))*H52,0))))))</f>
        <v>720</v>
      </c>
      <c r="Q52" s="38">
        <f>IFERROR(N52+O52+P52,O52+P52)</f>
        <v>3120</v>
      </c>
      <c r="R52" s="91" t="str">
        <f>IF(OR(COUNTIF(WorkPackage,B52)=0,COUNTIF(PartnerN°,C52)=0,D52="",COUNTIF(CountryALL,E52)=0,F52="",COUNTIF(Category2,G52)=0,ISNUMBER(H52)=FALSE,H52&lt;=0,I52="",COUNTIF(TravelBands,J52)=0,ISNUMBER(K52)=FALSE,OR(K52&lt;0,K52&gt;90),IF(ISNUMBER(H52)=TRUE,H52=INT(H52*1)/1=FALSE),IF(ISNUMBER(K52)=TRUE,K52=INT(K52*1)/1=FALSE),AND(L52&lt;&gt;"",M52=0),AND(L52="",M52&gt;0),ISNUMBER(N52)=FALSE ),"Error","")</f>
        <v/>
      </c>
    </row>
    <row r="53" spans="2:18" s="34" customFormat="1" x14ac:dyDescent="0.4">
      <c r="B53" s="14" t="s">
        <v>172</v>
      </c>
      <c r="C53" s="19" t="s">
        <v>20</v>
      </c>
      <c r="D53" s="42" t="str">
        <f t="shared" ref="D53" si="54">IFERROR(IF(VLOOKUP(C53,PartnerN°Ref,2,FALSE)=0,"",VLOOKUP(C53,PartnerN°Ref,2,FALSE)),"")</f>
        <v>Startit Centar</v>
      </c>
      <c r="E53" s="42" t="str">
        <f t="shared" ref="E53" si="55">IFERROR(IF(OR(VLOOKUP(C53,PartnerN°Ref,4,FALSE)="Country not found",VLOOKUP(C53,PartnerN°Ref,3,FALSE)=0),"",VLOOKUP(C53,PartnerN°Ref,3,FALSE)),"")</f>
        <v>Serbia</v>
      </c>
      <c r="F53" s="18" t="s">
        <v>379</v>
      </c>
      <c r="G53" s="78" t="s">
        <v>210</v>
      </c>
      <c r="H53" s="79">
        <v>4</v>
      </c>
      <c r="I53" s="18" t="s">
        <v>380</v>
      </c>
      <c r="J53" s="14" t="s">
        <v>150</v>
      </c>
      <c r="K53" s="79">
        <v>3</v>
      </c>
      <c r="L53" s="92" t="s">
        <v>347</v>
      </c>
      <c r="M53" s="93">
        <v>3000</v>
      </c>
      <c r="N53" s="37">
        <f>IF(AND(M53&gt;0,L53&lt;&gt;""),IF(M53&gt;(ROUND( (ROUND(ROUND(H53,0)*(VLOOKUP(J53,TravelCosts,2,FALSE)),2))/0.65,2)),ROUND(M53*0.8,2),"covered by unit cost"),0)</f>
        <v>2400</v>
      </c>
      <c r="O53" s="37">
        <f>IF(OR(AND(L53&lt;&gt;"",M53&gt;0,ISNUMBER(N53)),R53="Error"),0,ROUND(ROUND(H53,0)*(VLOOKUP(J53,TravelCosts,2,FALSE)),2))</f>
        <v>0</v>
      </c>
      <c r="P53" s="37">
        <f>IF(R53="Error",0,IF(AND(G53="Staff",K53&gt;0,K53&lt;15),(120*K53)*H53,IF(AND(G53="Staff",K53&gt;14,K53&lt;61),(1680+((K53-14)*70))*H53,IF(AND(G53="Staff",K53&gt;60,K53&lt;91),(4900+((K53-60)*50))*H53,IF(AND(G53="Student",K53&gt;0,K53&lt;15),(55*K53)*H53,IF(AND(G53="Student",K53&gt;14,K53&lt;91),(770+((K53-14)*40))*H53,0))))))</f>
        <v>660</v>
      </c>
      <c r="Q53" s="38">
        <f>IFERROR(N53+O53+P53,O53+P53)</f>
        <v>3060</v>
      </c>
      <c r="R53" s="91" t="str">
        <f>IF(OR(COUNTIF(WorkPackage,B53)=0,COUNTIF(PartnerN°,C53)=0,D53="",COUNTIF(CountryALL,E53)=0,F53="",COUNTIF(Category2,G53)=0,ISNUMBER(H53)=FALSE,H53&lt;=0,I53="",COUNTIF(TravelBands,J53)=0,ISNUMBER(K53)=FALSE,OR(K53&lt;0,K53&gt;90),IF(ISNUMBER(H53)=TRUE,H53=INT(H53*1)/1=FALSE),IF(ISNUMBER(K53)=TRUE,K53=INT(K53*1)/1=FALSE),AND(L53&lt;&gt;"",M53=0),AND(L53="",M53&gt;0),ISNUMBER(N53)=FALSE ),"Error","")</f>
        <v/>
      </c>
    </row>
    <row r="54" spans="2:18" s="34" customFormat="1" x14ac:dyDescent="0.4">
      <c r="B54" s="14" t="s">
        <v>172</v>
      </c>
      <c r="C54" s="19" t="s">
        <v>9</v>
      </c>
      <c r="D54" s="42" t="str">
        <f t="shared" si="52"/>
        <v xml:space="preserve">Univerzitet u Beogradu, Matematički fakultet </v>
      </c>
      <c r="E54" s="42" t="str">
        <f t="shared" si="53"/>
        <v>Serbia</v>
      </c>
      <c r="F54" s="18" t="s">
        <v>379</v>
      </c>
      <c r="G54" s="78" t="s">
        <v>208</v>
      </c>
      <c r="H54" s="79">
        <v>2</v>
      </c>
      <c r="I54" s="18" t="s">
        <v>383</v>
      </c>
      <c r="J54" s="14" t="s">
        <v>150</v>
      </c>
      <c r="K54" s="79">
        <v>3</v>
      </c>
      <c r="L54" s="92" t="s">
        <v>347</v>
      </c>
      <c r="M54" s="93">
        <v>3000</v>
      </c>
      <c r="N54" s="37">
        <f>IF(AND(M54&gt;0,L54&lt;&gt;""),IF(M54&gt;(ROUND( (ROUND(ROUND(H54,0)*(VLOOKUP(J54,TravelCosts,2,FALSE)),2))/0.65,2)),ROUND(M54*0.8,2),"covered by unit cost"),0)</f>
        <v>2400</v>
      </c>
      <c r="O54" s="37">
        <f>IF(OR(AND(L54&lt;&gt;"",M54&gt;0,ISNUMBER(N54)),R54="Error"),0,ROUND(ROUND(H54,0)*(VLOOKUP(J54,TravelCosts,2,FALSE)),2))</f>
        <v>0</v>
      </c>
      <c r="P54" s="37">
        <f>IF(R54="Error",0,IF(AND(G54="Staff",K54&gt;0,K54&lt;15),(120*K54)*H54,IF(AND(G54="Staff",K54&gt;14,K54&lt;61),(1680+((K54-14)*70))*H54,IF(AND(G54="Staff",K54&gt;60,K54&lt;91),(4900+((K54-60)*50))*H54,IF(AND(G54="Student",K54&gt;0,K54&lt;15),(55*K54)*H54,IF(AND(G54="Student",K54&gt;14,K54&lt;91),(770+((K54-14)*40))*H54,0))))))</f>
        <v>720</v>
      </c>
      <c r="Q54" s="38">
        <f>IFERROR(N54+O54+P54,O54+P54)</f>
        <v>3120</v>
      </c>
      <c r="R54" s="91" t="str">
        <f>IF(OR(COUNTIF(WorkPackage,B54)=0,COUNTIF(PartnerN°,C54)=0,D54="",COUNTIF(CountryALL,E54)=0,F54="",COUNTIF(Category2,G54)=0,ISNUMBER(H54)=FALSE,H54&lt;=0,I54="",COUNTIF(TravelBands,J54)=0,ISNUMBER(K54)=FALSE,OR(K54&lt;0,K54&gt;90),IF(ISNUMBER(H54)=TRUE,H54=INT(H54*1)/1=FALSE),IF(ISNUMBER(K54)=TRUE,K54=INT(K54*1)/1=FALSE),AND(L54&lt;&gt;"",M54=0),AND(L54="",M54&gt;0),ISNUMBER(N54)=FALSE ),"Error","")</f>
        <v/>
      </c>
    </row>
    <row r="55" spans="2:18" s="34" customFormat="1" x14ac:dyDescent="0.4">
      <c r="B55" s="14" t="s">
        <v>172</v>
      </c>
      <c r="C55" s="19" t="s">
        <v>9</v>
      </c>
      <c r="D55" s="42" t="str">
        <f t="shared" ref="D55" si="56">IFERROR(IF(VLOOKUP(C55,PartnerN°Ref,2,FALSE)=0,"",VLOOKUP(C55,PartnerN°Ref,2,FALSE)),"")</f>
        <v xml:space="preserve">Univerzitet u Beogradu, Matematički fakultet </v>
      </c>
      <c r="E55" s="42" t="str">
        <f t="shared" ref="E55" si="57">IFERROR(IF(OR(VLOOKUP(C55,PartnerN°Ref,4,FALSE)="Country not found",VLOOKUP(C55,PartnerN°Ref,3,FALSE)=0),"",VLOOKUP(C55,PartnerN°Ref,3,FALSE)),"")</f>
        <v>Serbia</v>
      </c>
      <c r="F55" s="18" t="s">
        <v>379</v>
      </c>
      <c r="G55" s="78" t="s">
        <v>210</v>
      </c>
      <c r="H55" s="79">
        <v>4</v>
      </c>
      <c r="I55" s="18" t="s">
        <v>383</v>
      </c>
      <c r="J55" s="14" t="s">
        <v>150</v>
      </c>
      <c r="K55" s="79">
        <v>3</v>
      </c>
      <c r="L55" s="92" t="s">
        <v>347</v>
      </c>
      <c r="M55" s="93">
        <v>3000</v>
      </c>
      <c r="N55" s="37">
        <f>IF(AND(M55&gt;0,L55&lt;&gt;""),IF(M55&gt;(ROUND( (ROUND(ROUND(H55,0)*(VLOOKUP(J55,TravelCosts,2,FALSE)),2))/0.65,2)),ROUND(M55*0.8,2),"covered by unit cost"),0)</f>
        <v>2400</v>
      </c>
      <c r="O55" s="37">
        <f>IF(OR(AND(L55&lt;&gt;"",M55&gt;0,ISNUMBER(N55)),R55="Error"),0,ROUND(ROUND(H55,0)*(VLOOKUP(J55,TravelCosts,2,FALSE)),2))</f>
        <v>0</v>
      </c>
      <c r="P55" s="37">
        <f>IF(R55="Error",0,IF(AND(G55="Staff",K55&gt;0,K55&lt;15),(120*K55)*H55,IF(AND(G55="Staff",K55&gt;14,K55&lt;61),(1680+((K55-14)*70))*H55,IF(AND(G55="Staff",K55&gt;60,K55&lt;91),(4900+((K55-60)*50))*H55,IF(AND(G55="Student",K55&gt;0,K55&lt;15),(55*K55)*H55,IF(AND(G55="Student",K55&gt;14,K55&lt;91),(770+((K55-14)*40))*H55,0))))))</f>
        <v>660</v>
      </c>
      <c r="Q55" s="38">
        <f>IFERROR(N55+O55+P55,O55+P55)</f>
        <v>3060</v>
      </c>
      <c r="R55" s="91" t="str">
        <f>IF(OR(COUNTIF(WorkPackage,B55)=0,COUNTIF(PartnerN°,C55)=0,D55="",COUNTIF(CountryALL,E55)=0,F55="",COUNTIF(Category2,G55)=0,ISNUMBER(H55)=FALSE,H55&lt;=0,I55="",COUNTIF(TravelBands,J55)=0,ISNUMBER(K55)=FALSE,OR(K55&lt;0,K55&gt;90),IF(ISNUMBER(H55)=TRUE,H55=INT(H55*1)/1=FALSE),IF(ISNUMBER(K55)=TRUE,K55=INT(K55*1)/1=FALSE),AND(L55&lt;&gt;"",M55=0),AND(L55="",M55&gt;0),ISNUMBER(N55)=FALSE ),"Error","")</f>
        <v/>
      </c>
    </row>
    <row r="56" spans="2:18" s="34" customFormat="1" x14ac:dyDescent="0.4">
      <c r="B56" s="14" t="s">
        <v>172</v>
      </c>
      <c r="C56" s="19" t="s">
        <v>12</v>
      </c>
      <c r="D56" s="42" t="str">
        <f t="shared" si="52"/>
        <v>ICT Hub Beograd</v>
      </c>
      <c r="E56" s="42" t="str">
        <f t="shared" si="53"/>
        <v>Serbia</v>
      </c>
      <c r="F56" s="18" t="s">
        <v>379</v>
      </c>
      <c r="G56" s="78" t="s">
        <v>208</v>
      </c>
      <c r="H56" s="79">
        <v>2</v>
      </c>
      <c r="I56" s="18" t="s">
        <v>383</v>
      </c>
      <c r="J56" s="14" t="s">
        <v>150</v>
      </c>
      <c r="K56" s="79">
        <v>3</v>
      </c>
      <c r="L56" s="92" t="s">
        <v>347</v>
      </c>
      <c r="M56" s="93">
        <v>3000</v>
      </c>
      <c r="N56" s="37">
        <f>IF(AND(M56&gt;0,L56&lt;&gt;""),IF(M56&gt;(ROUND( (ROUND(ROUND(H56,0)*(VLOOKUP(J56,TravelCosts,2,FALSE)),2))/0.65,2)),ROUND(M56*0.8,2),"covered by unit cost"),0)</f>
        <v>2400</v>
      </c>
      <c r="O56" s="37">
        <f>IF(OR(AND(L56&lt;&gt;"",M56&gt;0,ISNUMBER(N56)),R56="Error"),0,ROUND(ROUND(H56,0)*(VLOOKUP(J56,TravelCosts,2,FALSE)),2))</f>
        <v>0</v>
      </c>
      <c r="P56" s="37">
        <f>IF(R56="Error",0,IF(AND(G56="Staff",K56&gt;0,K56&lt;15),(120*K56)*H56,IF(AND(G56="Staff",K56&gt;14,K56&lt;61),(1680+((K56-14)*70))*H56,IF(AND(G56="Staff",K56&gt;60,K56&lt;91),(4900+((K56-60)*50))*H56,IF(AND(G56="Student",K56&gt;0,K56&lt;15),(55*K56)*H56,IF(AND(G56="Student",K56&gt;14,K56&lt;91),(770+((K56-14)*40))*H56,0))))))</f>
        <v>720</v>
      </c>
      <c r="Q56" s="38">
        <f>IFERROR(N56+O56+P56,O56+P56)</f>
        <v>3120</v>
      </c>
      <c r="R56" s="91" t="str">
        <f>IF(OR(COUNTIF(WorkPackage,B56)=0,COUNTIF(PartnerN°,C56)=0,D56="",COUNTIF(CountryALL,E56)=0,F56="",COUNTIF(Category2,G56)=0,ISNUMBER(H56)=FALSE,H56&lt;=0,I56="",COUNTIF(TravelBands,J56)=0,ISNUMBER(K56)=FALSE,OR(K56&lt;0,K56&gt;90),IF(ISNUMBER(H56)=TRUE,H56=INT(H56*1)/1=FALSE),IF(ISNUMBER(K56)=TRUE,K56=INT(K56*1)/1=FALSE),AND(L56&lt;&gt;"",M56=0),AND(L56="",M56&gt;0),ISNUMBER(N56)=FALSE ),"Error","")</f>
        <v/>
      </c>
    </row>
    <row r="57" spans="2:18" s="34" customFormat="1" x14ac:dyDescent="0.4">
      <c r="B57" s="14" t="s">
        <v>172</v>
      </c>
      <c r="C57" s="19" t="s">
        <v>12</v>
      </c>
      <c r="D57" s="42" t="str">
        <f t="shared" ref="D57" si="58">IFERROR(IF(VLOOKUP(C57,PartnerN°Ref,2,FALSE)=0,"",VLOOKUP(C57,PartnerN°Ref,2,FALSE)),"")</f>
        <v>ICT Hub Beograd</v>
      </c>
      <c r="E57" s="42" t="str">
        <f t="shared" ref="E57" si="59">IFERROR(IF(OR(VLOOKUP(C57,PartnerN°Ref,4,FALSE)="Country not found",VLOOKUP(C57,PartnerN°Ref,3,FALSE)=0),"",VLOOKUP(C57,PartnerN°Ref,3,FALSE)),"")</f>
        <v>Serbia</v>
      </c>
      <c r="F57" s="18" t="s">
        <v>379</v>
      </c>
      <c r="G57" s="78" t="s">
        <v>210</v>
      </c>
      <c r="H57" s="79">
        <v>4</v>
      </c>
      <c r="I57" s="18" t="s">
        <v>383</v>
      </c>
      <c r="J57" s="14" t="s">
        <v>150</v>
      </c>
      <c r="K57" s="79">
        <v>3</v>
      </c>
      <c r="L57" s="92" t="s">
        <v>347</v>
      </c>
      <c r="M57" s="93">
        <v>3000</v>
      </c>
      <c r="N57" s="37">
        <f>IF(AND(M57&gt;0,L57&lt;&gt;""),IF(M57&gt;(ROUND( (ROUND(ROUND(H57,0)*(VLOOKUP(J57,TravelCosts,2,FALSE)),2))/0.65,2)),ROUND(M57*0.8,2),"covered by unit cost"),0)</f>
        <v>2400</v>
      </c>
      <c r="O57" s="37">
        <f>IF(OR(AND(L57&lt;&gt;"",M57&gt;0,ISNUMBER(N57)),R57="Error"),0,ROUND(ROUND(H57,0)*(VLOOKUP(J57,TravelCosts,2,FALSE)),2))</f>
        <v>0</v>
      </c>
      <c r="P57" s="37">
        <f>IF(R57="Error",0,IF(AND(G57="Staff",K57&gt;0,K57&lt;15),(120*K57)*H57,IF(AND(G57="Staff",K57&gt;14,K57&lt;61),(1680+((K57-14)*70))*H57,IF(AND(G57="Staff",K57&gt;60,K57&lt;91),(4900+((K57-60)*50))*H57,IF(AND(G57="Student",K57&gt;0,K57&lt;15),(55*K57)*H57,IF(AND(G57="Student",K57&gt;14,K57&lt;91),(770+((K57-14)*40))*H57,0))))))</f>
        <v>660</v>
      </c>
      <c r="Q57" s="38">
        <f>IFERROR(N57+O57+P57,O57+P57)</f>
        <v>3060</v>
      </c>
      <c r="R57" s="91" t="str">
        <f>IF(OR(COUNTIF(WorkPackage,B57)=0,COUNTIF(PartnerN°,C57)=0,D57="",COUNTIF(CountryALL,E57)=0,F57="",COUNTIF(Category2,G57)=0,ISNUMBER(H57)=FALSE,H57&lt;=0,I57="",COUNTIF(TravelBands,J57)=0,ISNUMBER(K57)=FALSE,OR(K57&lt;0,K57&gt;90),IF(ISNUMBER(H57)=TRUE,H57=INT(H57*1)/1=FALSE),IF(ISNUMBER(K57)=TRUE,K57=INT(K57*1)/1=FALSE),AND(L57&lt;&gt;"",M57=0),AND(L57="",M57&gt;0),ISNUMBER(N57)=FALSE ),"Error","")</f>
        <v/>
      </c>
    </row>
    <row r="58" spans="2:18" s="34" customFormat="1" x14ac:dyDescent="0.4">
      <c r="B58" s="14" t="s">
        <v>172</v>
      </c>
      <c r="C58" s="19" t="s">
        <v>15</v>
      </c>
      <c r="D58" s="42" t="str">
        <f t="shared" si="52"/>
        <v>Fakultet tehničkih nauka, Univerzitet u Novom Sadu</v>
      </c>
      <c r="E58" s="42" t="str">
        <f t="shared" si="53"/>
        <v>Serbia</v>
      </c>
      <c r="F58" s="18" t="s">
        <v>379</v>
      </c>
      <c r="G58" s="78" t="s">
        <v>208</v>
      </c>
      <c r="H58" s="79">
        <v>2</v>
      </c>
      <c r="I58" s="18" t="s">
        <v>383</v>
      </c>
      <c r="J58" s="14" t="s">
        <v>150</v>
      </c>
      <c r="K58" s="79">
        <v>3</v>
      </c>
      <c r="L58" s="92" t="s">
        <v>347</v>
      </c>
      <c r="M58" s="93">
        <v>3000</v>
      </c>
      <c r="N58" s="37">
        <f>IF(AND(M58&gt;0,L58&lt;&gt;""),IF(M58&gt;(ROUND( (ROUND(ROUND(H58,0)*(VLOOKUP(J58,TravelCosts,2,FALSE)),2))/0.65,2)),ROUND(M58*0.8,2),"covered by unit cost"),0)</f>
        <v>2400</v>
      </c>
      <c r="O58" s="37">
        <f>IF(OR(AND(L58&lt;&gt;"",M58&gt;0,ISNUMBER(N58)),R58="Error"),0,ROUND(ROUND(H58,0)*(VLOOKUP(J58,TravelCosts,2,FALSE)),2))</f>
        <v>0</v>
      </c>
      <c r="P58" s="37">
        <f>IF(R58="Error",0,IF(AND(G58="Staff",K58&gt;0,K58&lt;15),(120*K58)*H58,IF(AND(G58="Staff",K58&gt;14,K58&lt;61),(1680+((K58-14)*70))*H58,IF(AND(G58="Staff",K58&gt;60,K58&lt;91),(4900+((K58-60)*50))*H58,IF(AND(G58="Student",K58&gt;0,K58&lt;15),(55*K58)*H58,IF(AND(G58="Student",K58&gt;14,K58&lt;91),(770+((K58-14)*40))*H58,0))))))</f>
        <v>720</v>
      </c>
      <c r="Q58" s="38">
        <f>IFERROR(N58+O58+P58,O58+P58)</f>
        <v>3120</v>
      </c>
      <c r="R58" s="91" t="str">
        <f>IF(OR(COUNTIF(WorkPackage,B58)=0,COUNTIF(PartnerN°,C58)=0,D58="",COUNTIF(CountryALL,E58)=0,F58="",COUNTIF(Category2,G58)=0,ISNUMBER(H58)=FALSE,H58&lt;=0,I58="",COUNTIF(TravelBands,J58)=0,ISNUMBER(K58)=FALSE,OR(K58&lt;0,K58&gt;90),IF(ISNUMBER(H58)=TRUE,H58=INT(H58*1)/1=FALSE),IF(ISNUMBER(K58)=TRUE,K58=INT(K58*1)/1=FALSE),AND(L58&lt;&gt;"",M58=0),AND(L58="",M58&gt;0),ISNUMBER(N58)=FALSE ),"Error","")</f>
        <v/>
      </c>
    </row>
    <row r="59" spans="2:18" s="34" customFormat="1" x14ac:dyDescent="0.4">
      <c r="B59" s="14" t="s">
        <v>172</v>
      </c>
      <c r="C59" s="19" t="s">
        <v>15</v>
      </c>
      <c r="D59" s="42" t="str">
        <f t="shared" ref="D59" si="60">IFERROR(IF(VLOOKUP(C59,PartnerN°Ref,2,FALSE)=0,"",VLOOKUP(C59,PartnerN°Ref,2,FALSE)),"")</f>
        <v>Fakultet tehničkih nauka, Univerzitet u Novom Sadu</v>
      </c>
      <c r="E59" s="42" t="str">
        <f t="shared" ref="E59" si="61">IFERROR(IF(OR(VLOOKUP(C59,PartnerN°Ref,4,FALSE)="Country not found",VLOOKUP(C59,PartnerN°Ref,3,FALSE)=0),"",VLOOKUP(C59,PartnerN°Ref,3,FALSE)),"")</f>
        <v>Serbia</v>
      </c>
      <c r="F59" s="18" t="s">
        <v>379</v>
      </c>
      <c r="G59" s="78" t="s">
        <v>210</v>
      </c>
      <c r="H59" s="79">
        <v>4</v>
      </c>
      <c r="I59" s="18" t="s">
        <v>383</v>
      </c>
      <c r="J59" s="14" t="s">
        <v>150</v>
      </c>
      <c r="K59" s="79">
        <v>3</v>
      </c>
      <c r="L59" s="92" t="s">
        <v>347</v>
      </c>
      <c r="M59" s="93">
        <v>3000</v>
      </c>
      <c r="N59" s="37">
        <f>IF(AND(M59&gt;0,L59&lt;&gt;""),IF(M59&gt;(ROUND( (ROUND(ROUND(H59,0)*(VLOOKUP(J59,TravelCosts,2,FALSE)),2))/0.65,2)),ROUND(M59*0.8,2),"covered by unit cost"),0)</f>
        <v>2400</v>
      </c>
      <c r="O59" s="37">
        <f>IF(OR(AND(L59&lt;&gt;"",M59&gt;0,ISNUMBER(N59)),R59="Error"),0,ROUND(ROUND(H59,0)*(VLOOKUP(J59,TravelCosts,2,FALSE)),2))</f>
        <v>0</v>
      </c>
      <c r="P59" s="37">
        <f>IF(R59="Error",0,IF(AND(G59="Staff",K59&gt;0,K59&lt;15),(120*K59)*H59,IF(AND(G59="Staff",K59&gt;14,K59&lt;61),(1680+((K59-14)*70))*H59,IF(AND(G59="Staff",K59&gt;60,K59&lt;91),(4900+((K59-60)*50))*H59,IF(AND(G59="Student",K59&gt;0,K59&lt;15),(55*K59)*H59,IF(AND(G59="Student",K59&gt;14,K59&lt;91),(770+((K59-14)*40))*H59,0))))))</f>
        <v>660</v>
      </c>
      <c r="Q59" s="38">
        <f>IFERROR(N59+O59+P59,O59+P59)</f>
        <v>3060</v>
      </c>
      <c r="R59" s="91" t="str">
        <f>IF(OR(COUNTIF(WorkPackage,B59)=0,COUNTIF(PartnerN°,C59)=0,D59="",COUNTIF(CountryALL,E59)=0,F59="",COUNTIF(Category2,G59)=0,ISNUMBER(H59)=FALSE,H59&lt;=0,I59="",COUNTIF(TravelBands,J59)=0,ISNUMBER(K59)=FALSE,OR(K59&lt;0,K59&gt;90),IF(ISNUMBER(H59)=TRUE,H59=INT(H59*1)/1=FALSE),IF(ISNUMBER(K59)=TRUE,K59=INT(K59*1)/1=FALSE),AND(L59&lt;&gt;"",M59=0),AND(L59="",M59&gt;0),ISNUMBER(N59)=FALSE ),"Error","")</f>
        <v/>
      </c>
    </row>
    <row r="60" spans="2:18" s="34" customFormat="1" x14ac:dyDescent="0.4">
      <c r="B60" s="14" t="s">
        <v>172</v>
      </c>
      <c r="C60" s="19" t="s">
        <v>18</v>
      </c>
      <c r="D60" s="42" t="str">
        <f t="shared" si="52"/>
        <v>Univerzitet u Nišu, Elektronski fakultet</v>
      </c>
      <c r="E60" s="42" t="str">
        <f t="shared" si="53"/>
        <v>Serbia</v>
      </c>
      <c r="F60" s="18" t="s">
        <v>379</v>
      </c>
      <c r="G60" s="78" t="s">
        <v>208</v>
      </c>
      <c r="H60" s="79">
        <v>2</v>
      </c>
      <c r="I60" s="18" t="s">
        <v>383</v>
      </c>
      <c r="J60" s="14" t="s">
        <v>150</v>
      </c>
      <c r="K60" s="79">
        <v>3</v>
      </c>
      <c r="L60" s="92" t="s">
        <v>347</v>
      </c>
      <c r="M60" s="93">
        <v>3000</v>
      </c>
      <c r="N60" s="37">
        <f>IF(AND(M60&gt;0,L60&lt;&gt;""),IF(M60&gt;(ROUND( (ROUND(ROUND(H60,0)*(VLOOKUP(J60,TravelCosts,2,FALSE)),2))/0.65,2)),ROUND(M60*0.8,2),"covered by unit cost"),0)</f>
        <v>2400</v>
      </c>
      <c r="O60" s="37">
        <f>IF(OR(AND(L60&lt;&gt;"",M60&gt;0,ISNUMBER(N60)),R60="Error"),0,ROUND(ROUND(H60,0)*(VLOOKUP(J60,TravelCosts,2,FALSE)),2))</f>
        <v>0</v>
      </c>
      <c r="P60" s="37">
        <f>IF(R60="Error",0,IF(AND(G60="Staff",K60&gt;0,K60&lt;15),(120*K60)*H60,IF(AND(G60="Staff",K60&gt;14,K60&lt;61),(1680+((K60-14)*70))*H60,IF(AND(G60="Staff",K60&gt;60,K60&lt;91),(4900+((K60-60)*50))*H60,IF(AND(G60="Student",K60&gt;0,K60&lt;15),(55*K60)*H60,IF(AND(G60="Student",K60&gt;14,K60&lt;91),(770+((K60-14)*40))*H60,0))))))</f>
        <v>720</v>
      </c>
      <c r="Q60" s="38">
        <f>IFERROR(N60+O60+P60,O60+P60)</f>
        <v>3120</v>
      </c>
      <c r="R60" s="91" t="str">
        <f>IF(OR(COUNTIF(WorkPackage,B60)=0,COUNTIF(PartnerN°,C60)=0,D60="",COUNTIF(CountryALL,E60)=0,F60="",COUNTIF(Category2,G60)=0,ISNUMBER(H60)=FALSE,H60&lt;=0,I60="",COUNTIF(TravelBands,J60)=0,ISNUMBER(K60)=FALSE,OR(K60&lt;0,K60&gt;90),IF(ISNUMBER(H60)=TRUE,H60=INT(H60*1)/1=FALSE),IF(ISNUMBER(K60)=TRUE,K60=INT(K60*1)/1=FALSE),AND(L60&lt;&gt;"",M60=0),AND(L60="",M60&gt;0),ISNUMBER(N60)=FALSE ),"Error","")</f>
        <v/>
      </c>
    </row>
    <row r="61" spans="2:18" s="34" customFormat="1" x14ac:dyDescent="0.4">
      <c r="B61" s="14" t="s">
        <v>172</v>
      </c>
      <c r="C61" s="19" t="s">
        <v>18</v>
      </c>
      <c r="D61" s="42" t="str">
        <f t="shared" ref="D61" si="62">IFERROR(IF(VLOOKUP(C61,PartnerN°Ref,2,FALSE)=0,"",VLOOKUP(C61,PartnerN°Ref,2,FALSE)),"")</f>
        <v>Univerzitet u Nišu, Elektronski fakultet</v>
      </c>
      <c r="E61" s="42" t="str">
        <f t="shared" ref="E61" si="63">IFERROR(IF(OR(VLOOKUP(C61,PartnerN°Ref,4,FALSE)="Country not found",VLOOKUP(C61,PartnerN°Ref,3,FALSE)=0),"",VLOOKUP(C61,PartnerN°Ref,3,FALSE)),"")</f>
        <v>Serbia</v>
      </c>
      <c r="F61" s="18" t="s">
        <v>379</v>
      </c>
      <c r="G61" s="78" t="s">
        <v>210</v>
      </c>
      <c r="H61" s="79">
        <v>4</v>
      </c>
      <c r="I61" s="18" t="s">
        <v>383</v>
      </c>
      <c r="J61" s="14" t="s">
        <v>150</v>
      </c>
      <c r="K61" s="79">
        <v>3</v>
      </c>
      <c r="L61" s="92" t="s">
        <v>347</v>
      </c>
      <c r="M61" s="93">
        <v>3000</v>
      </c>
      <c r="N61" s="37">
        <f>IF(AND(M61&gt;0,L61&lt;&gt;""),IF(M61&gt;(ROUND( (ROUND(ROUND(H61,0)*(VLOOKUP(J61,TravelCosts,2,FALSE)),2))/0.65,2)),ROUND(M61*0.8,2),"covered by unit cost"),0)</f>
        <v>2400</v>
      </c>
      <c r="O61" s="37">
        <f>IF(OR(AND(L61&lt;&gt;"",M61&gt;0,ISNUMBER(N61)),R61="Error"),0,ROUND(ROUND(H61,0)*(VLOOKUP(J61,TravelCosts,2,FALSE)),2))</f>
        <v>0</v>
      </c>
      <c r="P61" s="37">
        <f>IF(R61="Error",0,IF(AND(G61="Staff",K61&gt;0,K61&lt;15),(120*K61)*H61,IF(AND(G61="Staff",K61&gt;14,K61&lt;61),(1680+((K61-14)*70))*H61,IF(AND(G61="Staff",K61&gt;60,K61&lt;91),(4900+((K61-60)*50))*H61,IF(AND(G61="Student",K61&gt;0,K61&lt;15),(55*K61)*H61,IF(AND(G61="Student",K61&gt;14,K61&lt;91),(770+((K61-14)*40))*H61,0))))))</f>
        <v>660</v>
      </c>
      <c r="Q61" s="38">
        <f>IFERROR(N61+O61+P61,O61+P61)</f>
        <v>3060</v>
      </c>
      <c r="R61" s="91" t="str">
        <f>IF(OR(COUNTIF(WorkPackage,B61)=0,COUNTIF(PartnerN°,C61)=0,D61="",COUNTIF(CountryALL,E61)=0,F61="",COUNTIF(Category2,G61)=0,ISNUMBER(H61)=FALSE,H61&lt;=0,I61="",COUNTIF(TravelBands,J61)=0,ISNUMBER(K61)=FALSE,OR(K61&lt;0,K61&gt;90),IF(ISNUMBER(H61)=TRUE,H61=INT(H61*1)/1=FALSE),IF(ISNUMBER(K61)=TRUE,K61=INT(K61*1)/1=FALSE),AND(L61&lt;&gt;"",M61=0),AND(L61="",M61&gt;0),ISNUMBER(N61)=FALSE ),"Error","")</f>
        <v/>
      </c>
    </row>
    <row r="62" spans="2:18" s="34" customFormat="1" x14ac:dyDescent="0.4">
      <c r="B62" s="14" t="s">
        <v>172</v>
      </c>
      <c r="C62" s="19" t="s">
        <v>20</v>
      </c>
      <c r="D62" s="42" t="str">
        <f t="shared" ref="D62" si="64">IFERROR(IF(VLOOKUP(C62,PartnerN°Ref,2,FALSE)=0,"",VLOOKUP(C62,PartnerN°Ref,2,FALSE)),"")</f>
        <v>Startit Centar</v>
      </c>
      <c r="E62" s="42" t="str">
        <f t="shared" ref="E62" si="65">IFERROR(IF(OR(VLOOKUP(C62,PartnerN°Ref,4,FALSE)="Country not found",VLOOKUP(C62,PartnerN°Ref,3,FALSE)=0),"",VLOOKUP(C62,PartnerN°Ref,3,FALSE)),"")</f>
        <v>Serbia</v>
      </c>
      <c r="F62" s="18" t="s">
        <v>379</v>
      </c>
      <c r="G62" s="78" t="s">
        <v>208</v>
      </c>
      <c r="H62" s="79">
        <v>2</v>
      </c>
      <c r="I62" s="18" t="s">
        <v>383</v>
      </c>
      <c r="J62" s="14" t="s">
        <v>150</v>
      </c>
      <c r="K62" s="79">
        <v>3</v>
      </c>
      <c r="L62" s="92" t="s">
        <v>347</v>
      </c>
      <c r="M62" s="93">
        <v>3000</v>
      </c>
      <c r="N62" s="37">
        <f>IF(AND(M62&gt;0,L62&lt;&gt;""),IF(M62&gt;(ROUND( (ROUND(ROUND(H62,0)*(VLOOKUP(J62,TravelCosts,2,FALSE)),2))/0.65,2)),ROUND(M62*0.8,2),"covered by unit cost"),0)</f>
        <v>2400</v>
      </c>
      <c r="O62" s="37">
        <f>IF(OR(AND(L62&lt;&gt;"",M62&gt;0,ISNUMBER(N62)),R62="Error"),0,ROUND(ROUND(H62,0)*(VLOOKUP(J62,TravelCosts,2,FALSE)),2))</f>
        <v>0</v>
      </c>
      <c r="P62" s="37">
        <f>IF(R62="Error",0,IF(AND(G62="Staff",K62&gt;0,K62&lt;15),(120*K62)*H62,IF(AND(G62="Staff",K62&gt;14,K62&lt;61),(1680+((K62-14)*70))*H62,IF(AND(G62="Staff",K62&gt;60,K62&lt;91),(4900+((K62-60)*50))*H62,IF(AND(G62="Student",K62&gt;0,K62&lt;15),(55*K62)*H62,IF(AND(G62="Student",K62&gt;14,K62&lt;91),(770+((K62-14)*40))*H62,0))))))</f>
        <v>720</v>
      </c>
      <c r="Q62" s="38">
        <f>IFERROR(N62+O62+P62,O62+P62)</f>
        <v>3120</v>
      </c>
      <c r="R62" s="91" t="str">
        <f>IF(OR(COUNTIF(WorkPackage,B62)=0,COUNTIF(PartnerN°,C62)=0,D62="",COUNTIF(CountryALL,E62)=0,F62="",COUNTIF(Category2,G62)=0,ISNUMBER(H62)=FALSE,H62&lt;=0,I62="",COUNTIF(TravelBands,J62)=0,ISNUMBER(K62)=FALSE,OR(K62&lt;0,K62&gt;90),IF(ISNUMBER(H62)=TRUE,H62=INT(H62*1)/1=FALSE),IF(ISNUMBER(K62)=TRUE,K62=INT(K62*1)/1=FALSE),AND(L62&lt;&gt;"",M62=0),AND(L62="",M62&gt;0),ISNUMBER(N62)=FALSE ),"Error","")</f>
        <v/>
      </c>
    </row>
    <row r="63" spans="2:18" s="34" customFormat="1" x14ac:dyDescent="0.4">
      <c r="B63" s="14" t="s">
        <v>172</v>
      </c>
      <c r="C63" s="19" t="s">
        <v>20</v>
      </c>
      <c r="D63" s="42" t="str">
        <f t="shared" ref="D63:D64" si="66">IFERROR(IF(VLOOKUP(C63,PartnerN°Ref,2,FALSE)=0,"",VLOOKUP(C63,PartnerN°Ref,2,FALSE)),"")</f>
        <v>Startit Centar</v>
      </c>
      <c r="E63" s="42" t="str">
        <f t="shared" ref="E63:E64" si="67">IFERROR(IF(OR(VLOOKUP(C63,PartnerN°Ref,4,FALSE)="Country not found",VLOOKUP(C63,PartnerN°Ref,3,FALSE)=0),"",VLOOKUP(C63,PartnerN°Ref,3,FALSE)),"")</f>
        <v>Serbia</v>
      </c>
      <c r="F63" s="18" t="s">
        <v>379</v>
      </c>
      <c r="G63" s="78" t="s">
        <v>210</v>
      </c>
      <c r="H63" s="79">
        <v>4</v>
      </c>
      <c r="I63" s="18" t="s">
        <v>383</v>
      </c>
      <c r="J63" s="14" t="s">
        <v>150</v>
      </c>
      <c r="K63" s="79">
        <v>3</v>
      </c>
      <c r="L63" s="92" t="s">
        <v>347</v>
      </c>
      <c r="M63" s="93">
        <v>3000</v>
      </c>
      <c r="N63" s="37">
        <f>IF(AND(M63&gt;0,L63&lt;&gt;""),IF(M63&gt;(ROUND( (ROUND(ROUND(H63,0)*(VLOOKUP(J63,TravelCosts,2,FALSE)),2))/0.65,2)),ROUND(M63*0.8,2),"covered by unit cost"),0)</f>
        <v>2400</v>
      </c>
      <c r="O63" s="37">
        <f>IF(OR(AND(L63&lt;&gt;"",M63&gt;0,ISNUMBER(N63)),R63="Error"),0,ROUND(ROUND(H63,0)*(VLOOKUP(J63,TravelCosts,2,FALSE)),2))</f>
        <v>0</v>
      </c>
      <c r="P63" s="37">
        <f>IF(R63="Error",0,IF(AND(G63="Staff",K63&gt;0,K63&lt;15),(120*K63)*H63,IF(AND(G63="Staff",K63&gt;14,K63&lt;61),(1680+((K63-14)*70))*H63,IF(AND(G63="Staff",K63&gt;60,K63&lt;91),(4900+((K63-60)*50))*H63,IF(AND(G63="Student",K63&gt;0,K63&lt;15),(55*K63)*H63,IF(AND(G63="Student",K63&gt;14,K63&lt;91),(770+((K63-14)*40))*H63,0))))))</f>
        <v>660</v>
      </c>
      <c r="Q63" s="38">
        <f>IFERROR(N63+O63+P63,O63+P63)</f>
        <v>3060</v>
      </c>
      <c r="R63" s="91" t="str">
        <f>IF(OR(COUNTIF(WorkPackage,B63)=0,COUNTIF(PartnerN°,C63)=0,D63="",COUNTIF(CountryALL,E63)=0,F63="",COUNTIF(Category2,G63)=0,ISNUMBER(H63)=FALSE,H63&lt;=0,I63="",COUNTIF(TravelBands,J63)=0,ISNUMBER(K63)=FALSE,OR(K63&lt;0,K63&gt;90),IF(ISNUMBER(H63)=TRUE,H63=INT(H63*1)/1=FALSE),IF(ISNUMBER(K63)=TRUE,K63=INT(K63*1)/1=FALSE),AND(L63&lt;&gt;"",M63=0),AND(L63="",M63&gt;0),ISNUMBER(N63)=FALSE ),"Error","")</f>
        <v/>
      </c>
    </row>
    <row r="64" spans="2:18" s="243" customFormat="1" x14ac:dyDescent="0.4">
      <c r="B64" s="239" t="s">
        <v>172</v>
      </c>
      <c r="C64" s="241" t="s">
        <v>11</v>
      </c>
      <c r="D64" s="248" t="str">
        <f t="shared" si="66"/>
        <v>Fakultet elektrotehnike i računarstva (FER)</v>
      </c>
      <c r="E64" s="248" t="str">
        <f t="shared" si="67"/>
        <v>Croatia</v>
      </c>
      <c r="F64" s="240" t="s">
        <v>379</v>
      </c>
      <c r="G64" s="249" t="s">
        <v>210</v>
      </c>
      <c r="H64" s="250">
        <v>25</v>
      </c>
      <c r="I64" s="240" t="s">
        <v>381</v>
      </c>
      <c r="J64" s="239" t="s">
        <v>149</v>
      </c>
      <c r="K64" s="250">
        <v>28</v>
      </c>
      <c r="L64" s="252"/>
      <c r="M64" s="253"/>
      <c r="N64" s="246">
        <f>IF(AND(M64&gt;0,L64&lt;&gt;""),IF(M64&gt;(ROUND( (ROUND(ROUND(H64,0)*(VLOOKUP(J64,TravelCosts,2,FALSE)),2))/0.65,2)),ROUND(M64*0.8,2),"covered by unit cost"),0)</f>
        <v>0</v>
      </c>
      <c r="O64" s="246">
        <f>IF(OR(AND(L64&lt;&gt;"",M64&gt;0,ISNUMBER(N64)),R64="Error"),0,ROUND(ROUND(H64,0)*(VLOOKUP(J64,TravelCosts,2,FALSE)),2))</f>
        <v>4500</v>
      </c>
      <c r="P64" s="246">
        <f>IF(R64="Error",0,IF(AND(G64="Staff",K64&gt;0,K64&lt;15),(120*K64)*H64,IF(AND(G64="Staff",K64&gt;14,K64&lt;61),(1680+((K64-14)*70))*H64,IF(AND(G64="Staff",K64&gt;60,K64&lt;91),(4900+((K64-60)*50))*H64,IF(AND(G64="Student",K64&gt;0,K64&lt;15),(55*K64)*H64,IF(AND(G64="Student",K64&gt;14,K64&lt;91),(770+((K64-14)*40))*H64,0))))))</f>
        <v>33250</v>
      </c>
      <c r="Q64" s="247">
        <f>IFERROR(N64+O64+P64,O64+P64)</f>
        <v>37750</v>
      </c>
      <c r="R64" s="251" t="str">
        <f>IF(OR(COUNTIF(WorkPackage,B64)=0,COUNTIF(PartnerN°,C64)=0,D64="",COUNTIF(CountryALL,E64)=0,F64="",COUNTIF(Category2,G64)=0,ISNUMBER(H64)=FALSE,H64&lt;=0,I64="",COUNTIF(TravelBands,J64)=0,ISNUMBER(K64)=FALSE,OR(K64&lt;0,K64&gt;90),IF(ISNUMBER(H64)=TRUE,H64=INT(H64*1)/1=FALSE),IF(ISNUMBER(K64)=TRUE,K64=INT(K64*1)/1=FALSE),AND(L64&lt;&gt;"",M64=0),AND(L64="",M64&gt;0),ISNUMBER(N64)=FALSE ),"Error","")</f>
        <v/>
      </c>
    </row>
    <row r="65" spans="2:18" s="243" customFormat="1" x14ac:dyDescent="0.4">
      <c r="B65" s="239" t="s">
        <v>172</v>
      </c>
      <c r="C65" s="241" t="s">
        <v>14</v>
      </c>
      <c r="D65" s="248" t="str">
        <f t="shared" ref="D65" si="68">IFERROR(IF(VLOOKUP(C65,PartnerN°Ref,2,FALSE)=0,"",VLOOKUP(C65,PartnerN°Ref,2,FALSE)),"")</f>
        <v>Station F</v>
      </c>
      <c r="E65" s="248" t="str">
        <f t="shared" ref="E65" si="69">IFERROR(IF(OR(VLOOKUP(C65,PartnerN°Ref,4,FALSE)="Country not found",VLOOKUP(C65,PartnerN°Ref,3,FALSE)=0),"",VLOOKUP(C65,PartnerN°Ref,3,FALSE)),"")</f>
        <v>France</v>
      </c>
      <c r="F65" s="240" t="s">
        <v>379</v>
      </c>
      <c r="G65" s="249" t="s">
        <v>210</v>
      </c>
      <c r="H65" s="250">
        <v>25</v>
      </c>
      <c r="I65" s="240" t="s">
        <v>381</v>
      </c>
      <c r="J65" s="239" t="s">
        <v>149</v>
      </c>
      <c r="K65" s="250">
        <v>28</v>
      </c>
      <c r="L65" s="252"/>
      <c r="M65" s="253"/>
      <c r="N65" s="246">
        <f>IF(AND(M65&gt;0,L65&lt;&gt;""),IF(M65&gt;(ROUND( (ROUND(ROUND(H65,0)*(VLOOKUP(J65,TravelCosts,2,FALSE)),2))/0.65,2)),ROUND(M65*0.8,2),"covered by unit cost"),0)</f>
        <v>0</v>
      </c>
      <c r="O65" s="246">
        <f>IF(OR(AND(L65&lt;&gt;"",M65&gt;0,ISNUMBER(N65)),R65="Error"),0,ROUND(ROUND(H65,0)*(VLOOKUP(J65,TravelCosts,2,FALSE)),2))</f>
        <v>4500</v>
      </c>
      <c r="P65" s="246">
        <f>IF(R65="Error",0,IF(AND(G65="Staff",K65&gt;0,K65&lt;15),(120*K65)*H65,IF(AND(G65="Staff",K65&gt;14,K65&lt;61),(1680+((K65-14)*70))*H65,IF(AND(G65="Staff",K65&gt;60,K65&lt;91),(4900+((K65-60)*50))*H65,IF(AND(G65="Student",K65&gt;0,K65&lt;15),(55*K65)*H65,IF(AND(G65="Student",K65&gt;14,K65&lt;91),(770+((K65-14)*40))*H65,0))))))</f>
        <v>33250</v>
      </c>
      <c r="Q65" s="247">
        <f>IFERROR(N65+O65+P65,O65+P65)</f>
        <v>37750</v>
      </c>
      <c r="R65" s="251" t="str">
        <f>IF(OR(COUNTIF(WorkPackage,B65)=0,COUNTIF(PartnerN°,C65)=0,D65="",COUNTIF(CountryALL,E65)=0,F65="",COUNTIF(Category2,G65)=0,ISNUMBER(H65)=FALSE,H65&lt;=0,I65="",COUNTIF(TravelBands,J65)=0,ISNUMBER(K65)=FALSE,OR(K65&lt;0,K65&gt;90),IF(ISNUMBER(H65)=TRUE,H65=INT(H65*1)/1=FALSE),IF(ISNUMBER(K65)=TRUE,K65=INT(K65*1)/1=FALSE),AND(L65&lt;&gt;"",M65=0),AND(L65="",M65&gt;0),ISNUMBER(N65)=FALSE ),"Error","")</f>
        <v/>
      </c>
    </row>
    <row r="66" spans="2:18" s="243" customFormat="1" x14ac:dyDescent="0.4">
      <c r="B66" s="239" t="s">
        <v>172</v>
      </c>
      <c r="C66" s="241" t="s">
        <v>17</v>
      </c>
      <c r="D66" s="248" t="str">
        <f t="shared" ref="D66" si="70">IFERROR(IF(VLOOKUP(C66,PartnerN°Ref,2,FALSE)=0,"",VLOOKUP(C66,PartnerN°Ref,2,FALSE)),"")</f>
        <v>Sorbonne Univerzitet</v>
      </c>
      <c r="E66" s="248" t="str">
        <f t="shared" ref="E66" si="71">IFERROR(IF(OR(VLOOKUP(C66,PartnerN°Ref,4,FALSE)="Country not found",VLOOKUP(C66,PartnerN°Ref,3,FALSE)=0),"",VLOOKUP(C66,PartnerN°Ref,3,FALSE)),"")</f>
        <v>France</v>
      </c>
      <c r="F66" s="240" t="s">
        <v>379</v>
      </c>
      <c r="G66" s="249" t="s">
        <v>210</v>
      </c>
      <c r="H66" s="250">
        <v>25</v>
      </c>
      <c r="I66" s="240" t="s">
        <v>381</v>
      </c>
      <c r="J66" s="239" t="s">
        <v>149</v>
      </c>
      <c r="K66" s="250">
        <v>28</v>
      </c>
      <c r="L66" s="252"/>
      <c r="M66" s="253"/>
      <c r="N66" s="246">
        <f>IF(AND(M66&gt;0,L66&lt;&gt;""),IF(M66&gt;(ROUND( (ROUND(ROUND(H66,0)*(VLOOKUP(J66,TravelCosts,2,FALSE)),2))/0.65,2)),ROUND(M66*0.8,2),"covered by unit cost"),0)</f>
        <v>0</v>
      </c>
      <c r="O66" s="246">
        <f>IF(OR(AND(L66&lt;&gt;"",M66&gt;0,ISNUMBER(N66)),R66="Error"),0,ROUND(ROUND(H66,0)*(VLOOKUP(J66,TravelCosts,2,FALSE)),2))</f>
        <v>4500</v>
      </c>
      <c r="P66" s="246">
        <f>IF(R66="Error",0,IF(AND(G66="Staff",K66&gt;0,K66&lt;15),(120*K66)*H66,IF(AND(G66="Staff",K66&gt;14,K66&lt;61),(1680+((K66-14)*70))*H66,IF(AND(G66="Staff",K66&gt;60,K66&lt;91),(4900+((K66-60)*50))*H66,IF(AND(G66="Student",K66&gt;0,K66&lt;15),(55*K66)*H66,IF(AND(G66="Student",K66&gt;14,K66&lt;91),(770+((K66-14)*40))*H66,0))))))</f>
        <v>33250</v>
      </c>
      <c r="Q66" s="247">
        <f>IFERROR(N66+O66+P66,O66+P66)</f>
        <v>37750</v>
      </c>
      <c r="R66" s="251" t="str">
        <f>IF(OR(COUNTIF(WorkPackage,B66)=0,COUNTIF(PartnerN°,C66)=0,D66="",COUNTIF(CountryALL,E66)=0,F66="",COUNTIF(Category2,G66)=0,ISNUMBER(H66)=FALSE,H66&lt;=0,I66="",COUNTIF(TravelBands,J66)=0,ISNUMBER(K66)=FALSE,OR(K66&lt;0,K66&gt;90),IF(ISNUMBER(H66)=TRUE,H66=INT(H66*1)/1=FALSE),IF(ISNUMBER(K66)=TRUE,K66=INT(K66*1)/1=FALSE),AND(L66&lt;&gt;"",M66=0),AND(L66="",M66&gt;0),ISNUMBER(N66)=FALSE ),"Error","")</f>
        <v/>
      </c>
    </row>
    <row r="67" spans="2:18" s="243" customFormat="1" x14ac:dyDescent="0.4">
      <c r="B67" s="239" t="s">
        <v>172</v>
      </c>
      <c r="C67" s="241" t="s">
        <v>156</v>
      </c>
      <c r="D67" s="248" t="str">
        <f t="shared" ref="D67" si="72">IFERROR(IF(VLOOKUP(C67,PartnerN°Ref,2,FALSE)=0,"",VLOOKUP(C67,PartnerN°Ref,2,FALSE)),"")</f>
        <v>Imperial College London</v>
      </c>
      <c r="E67" s="248" t="str">
        <f t="shared" ref="E67" si="73">IFERROR(IF(OR(VLOOKUP(C67,PartnerN°Ref,4,FALSE)="Country not found",VLOOKUP(C67,PartnerN°Ref,3,FALSE)=0),"",VLOOKUP(C67,PartnerN°Ref,3,FALSE)),"")</f>
        <v>United Kingdom</v>
      </c>
      <c r="F67" s="240" t="s">
        <v>379</v>
      </c>
      <c r="G67" s="249" t="s">
        <v>210</v>
      </c>
      <c r="H67" s="250">
        <v>25</v>
      </c>
      <c r="I67" s="240" t="s">
        <v>381</v>
      </c>
      <c r="J67" s="239" t="s">
        <v>149</v>
      </c>
      <c r="K67" s="250">
        <v>28</v>
      </c>
      <c r="L67" s="252"/>
      <c r="M67" s="253"/>
      <c r="N67" s="246">
        <f>IF(AND(M67&gt;0,L67&lt;&gt;""),IF(M67&gt;(ROUND( (ROUND(ROUND(H67,0)*(VLOOKUP(J67,TravelCosts,2,FALSE)),2))/0.65,2)),ROUND(M67*0.8,2),"covered by unit cost"),0)</f>
        <v>0</v>
      </c>
      <c r="O67" s="246">
        <f>IF(OR(AND(L67&lt;&gt;"",M67&gt;0,ISNUMBER(N67)),R67="Error"),0,ROUND(ROUND(H67,0)*(VLOOKUP(J67,TravelCosts,2,FALSE)),2))</f>
        <v>4500</v>
      </c>
      <c r="P67" s="246">
        <f>IF(R67="Error",0,IF(AND(G67="Staff",K67&gt;0,K67&lt;15),(120*K67)*H67,IF(AND(G67="Staff",K67&gt;14,K67&lt;61),(1680+((K67-14)*70))*H67,IF(AND(G67="Staff",K67&gt;60,K67&lt;91),(4900+((K67-60)*50))*H67,IF(AND(G67="Student",K67&gt;0,K67&lt;15),(55*K67)*H67,IF(AND(G67="Student",K67&gt;14,K67&lt;91),(770+((K67-14)*40))*H67,0))))))</f>
        <v>33250</v>
      </c>
      <c r="Q67" s="247">
        <f>IFERROR(N67+O67+P67,O67+P67)</f>
        <v>37750</v>
      </c>
      <c r="R67" s="251" t="str">
        <f>IF(OR(COUNTIF(WorkPackage,B67)=0,COUNTIF(PartnerN°,C67)=0,D67="",COUNTIF(CountryALL,E67)=0,F67="",COUNTIF(Category2,G67)=0,ISNUMBER(H67)=FALSE,H67&lt;=0,I67="",COUNTIF(TravelBands,J67)=0,ISNUMBER(K67)=FALSE,OR(K67&lt;0,K67&gt;90),IF(ISNUMBER(H67)=TRUE,H67=INT(H67*1)/1=FALSE),IF(ISNUMBER(K67)=TRUE,K67=INT(K67*1)/1=FALSE),AND(L67&lt;&gt;"",M67=0),AND(L67="",M67&gt;0),ISNUMBER(N67)=FALSE ),"Error","")</f>
        <v/>
      </c>
    </row>
    <row r="68" spans="2:18" s="243" customFormat="1" x14ac:dyDescent="0.4">
      <c r="B68" s="239" t="s">
        <v>172</v>
      </c>
      <c r="C68" s="241" t="s">
        <v>22</v>
      </c>
      <c r="D68" s="248" t="str">
        <f t="shared" ref="D68" si="74">IFERROR(IF(VLOOKUP(C68,PartnerN°Ref,2,FALSE)=0,"",VLOOKUP(C68,PartnerN°Ref,2,FALSE)),"")</f>
        <v>Imec</v>
      </c>
      <c r="E68" s="248" t="str">
        <f t="shared" ref="E68" si="75">IFERROR(IF(OR(VLOOKUP(C68,PartnerN°Ref,4,FALSE)="Country not found",VLOOKUP(C68,PartnerN°Ref,3,FALSE)=0),"",VLOOKUP(C68,PartnerN°Ref,3,FALSE)),"")</f>
        <v>Belgium</v>
      </c>
      <c r="F68" s="240" t="s">
        <v>379</v>
      </c>
      <c r="G68" s="249" t="s">
        <v>210</v>
      </c>
      <c r="H68" s="250">
        <v>25</v>
      </c>
      <c r="I68" s="240" t="s">
        <v>381</v>
      </c>
      <c r="J68" s="239" t="s">
        <v>149</v>
      </c>
      <c r="K68" s="250">
        <v>28</v>
      </c>
      <c r="L68" s="252"/>
      <c r="M68" s="253"/>
      <c r="N68" s="246">
        <f>IF(AND(M68&gt;0,L68&lt;&gt;""),IF(M68&gt;(ROUND( (ROUND(ROUND(H68,0)*(VLOOKUP(J68,TravelCosts,2,FALSE)),2))/0.65,2)),ROUND(M68*0.8,2),"covered by unit cost"),0)</f>
        <v>0</v>
      </c>
      <c r="O68" s="246">
        <f>IF(OR(AND(L68&lt;&gt;"",M68&gt;0,ISNUMBER(N68)),R68="Error"),0,ROUND(ROUND(H68,0)*(VLOOKUP(J68,TravelCosts,2,FALSE)),2))</f>
        <v>4500</v>
      </c>
      <c r="P68" s="246">
        <f>IF(R68="Error",0,IF(AND(G68="Staff",K68&gt;0,K68&lt;15),(120*K68)*H68,IF(AND(G68="Staff",K68&gt;14,K68&lt;61),(1680+((K68-14)*70))*H68,IF(AND(G68="Staff",K68&gt;60,K68&lt;91),(4900+((K68-60)*50))*H68,IF(AND(G68="Student",K68&gt;0,K68&lt;15),(55*K68)*H68,IF(AND(G68="Student",K68&gt;14,K68&lt;91),(770+((K68-14)*40))*H68,0))))))</f>
        <v>33250</v>
      </c>
      <c r="Q68" s="247">
        <f>IFERROR(N68+O68+P68,O68+P68)</f>
        <v>37750</v>
      </c>
      <c r="R68" s="251" t="str">
        <f>IF(OR(COUNTIF(WorkPackage,B68)=0,COUNTIF(PartnerN°,C68)=0,D68="",COUNTIF(CountryALL,E68)=0,F68="",COUNTIF(Category2,G68)=0,ISNUMBER(H68)=FALSE,H68&lt;=0,I68="",COUNTIF(TravelBands,J68)=0,ISNUMBER(K68)=FALSE,OR(K68&lt;0,K68&gt;90),IF(ISNUMBER(H68)=TRUE,H68=INT(H68*1)/1=FALSE),IF(ISNUMBER(K68)=TRUE,K68=INT(K68*1)/1=FALSE),AND(L68&lt;&gt;"",M68=0),AND(L68="",M68&gt;0),ISNUMBER(N68)=FALSE ),"Error","")</f>
        <v/>
      </c>
    </row>
    <row r="70" spans="2:18" x14ac:dyDescent="0.45">
      <c r="M70" s="96"/>
    </row>
    <row r="72" spans="2:18" x14ac:dyDescent="0.45">
      <c r="L72" s="95"/>
      <c r="M72" s="95"/>
    </row>
    <row r="73" spans="2:18" x14ac:dyDescent="0.45">
      <c r="M73" s="95"/>
      <c r="N73" s="95"/>
      <c r="O73" s="95"/>
    </row>
  </sheetData>
  <sheetProtection algorithmName="SHA-512" hashValue="byNdjJWXzKK5INwDmNED3eUblcZatYO7LQzpDHaa/yQObIflQ3+GqORZOtnYKX+sBEMryv/SCHGSfhgVQ/Khwg==" saltValue="6TlMkLNkipIzeB6HWbf0gA==" spinCount="100000" sheet="1" objects="1" scenarios="1" selectLockedCells="1"/>
  <dataConsolidate/>
  <mergeCells count="17">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s>
  <conditionalFormatting sqref="R14:R63">
    <cfRule type="containsText" dxfId="84" priority="1473" operator="containsText" text="Error">
      <formula>NOT(ISERROR(SEARCH("Error",R14)))</formula>
    </cfRule>
  </conditionalFormatting>
  <conditionalFormatting sqref="D13:E68">
    <cfRule type="containsBlanks" dxfId="83" priority="1471">
      <formula>LEN(TRIM(D13))=0</formula>
    </cfRule>
  </conditionalFormatting>
  <conditionalFormatting sqref="O4:Q4">
    <cfRule type="cellIs" dxfId="82" priority="1219" operator="equal">
      <formula>"EXCEEDING 80% OF TOTAL TRAVEL COSTS"</formula>
    </cfRule>
  </conditionalFormatting>
  <conditionalFormatting sqref="H13:H68 K13:K68">
    <cfRule type="expression" dxfId="81" priority="1211">
      <formula>ISNUMBER(H13)=FALSE</formula>
    </cfRule>
  </conditionalFormatting>
  <conditionalFormatting sqref="B14:C63 F13:K68">
    <cfRule type="containsBlanks" dxfId="80" priority="136">
      <formula>LEN(TRIM(B13))=0</formula>
    </cfRule>
  </conditionalFormatting>
  <conditionalFormatting sqref="B13:C13">
    <cfRule type="containsBlanks" dxfId="79" priority="1203">
      <formula>LEN(TRIM(B13))=0</formula>
    </cfRule>
  </conditionalFormatting>
  <conditionalFormatting sqref="K13:K68">
    <cfRule type="cellIs" dxfId="78" priority="131" operator="lessThan">
      <formula>0</formula>
    </cfRule>
    <cfRule type="cellIs" dxfId="77" priority="1216" operator="equal">
      <formula>0</formula>
    </cfRule>
  </conditionalFormatting>
  <conditionalFormatting sqref="H13:H68">
    <cfRule type="cellIs" dxfId="76" priority="1207" operator="lessThanOrEqual">
      <formula>0</formula>
    </cfRule>
  </conditionalFormatting>
  <conditionalFormatting sqref="M14:M63">
    <cfRule type="expression" dxfId="75" priority="109">
      <formula>AND(M14=0,L14&lt;&gt;"")</formula>
    </cfRule>
  </conditionalFormatting>
  <conditionalFormatting sqref="L14:L63">
    <cfRule type="expression" dxfId="74" priority="111">
      <formula>AND(L14="",M14&gt;0)</formula>
    </cfRule>
  </conditionalFormatting>
  <conditionalFormatting sqref="L14:M63">
    <cfRule type="cellIs" dxfId="73" priority="112" operator="equal">
      <formula>0</formula>
    </cfRule>
  </conditionalFormatting>
  <conditionalFormatting sqref="M13">
    <cfRule type="expression" dxfId="72" priority="101">
      <formula>AND(M13=0,L13&lt;&gt;"")</formula>
    </cfRule>
  </conditionalFormatting>
  <conditionalFormatting sqref="L13">
    <cfRule type="expression" dxfId="71" priority="102">
      <formula>AND(L13="",M13&gt;0)</formula>
    </cfRule>
  </conditionalFormatting>
  <conditionalFormatting sqref="L13:M13">
    <cfRule type="cellIs" dxfId="70" priority="103" operator="equal">
      <formula>0</formula>
    </cfRule>
  </conditionalFormatting>
  <conditionalFormatting sqref="N14:N63">
    <cfRule type="expression" dxfId="69" priority="89">
      <formula>ISNUMBER(N14)=FALSE</formula>
    </cfRule>
  </conditionalFormatting>
  <conditionalFormatting sqref="R13">
    <cfRule type="containsText" dxfId="68" priority="76" operator="containsText" text="Error">
      <formula>NOT(ISERROR(SEARCH("Error",R13)))</formula>
    </cfRule>
  </conditionalFormatting>
  <conditionalFormatting sqref="N13">
    <cfRule type="expression" dxfId="67" priority="75">
      <formula>ISNUMBER(N13)=FALSE</formula>
    </cfRule>
  </conditionalFormatting>
  <conditionalFormatting sqref="B64:C68">
    <cfRule type="containsBlanks" dxfId="66" priority="6">
      <formula>LEN(TRIM(B64))=0</formula>
    </cfRule>
  </conditionalFormatting>
  <conditionalFormatting sqref="M64:M68">
    <cfRule type="expression" dxfId="65" priority="3">
      <formula>AND(M64=0,L64&lt;&gt;"")</formula>
    </cfRule>
  </conditionalFormatting>
  <conditionalFormatting sqref="L64:L68">
    <cfRule type="expression" dxfId="64" priority="4">
      <formula>AND(L64="",M64&gt;0)</formula>
    </cfRule>
  </conditionalFormatting>
  <conditionalFormatting sqref="L64:M68">
    <cfRule type="cellIs" dxfId="63" priority="5" operator="equal">
      <formula>0</formula>
    </cfRule>
  </conditionalFormatting>
  <conditionalFormatting sqref="R64:R68">
    <cfRule type="containsText" dxfId="62" priority="2" operator="containsText" text="Error">
      <formula>NOT(ISERROR(SEARCH("Error",R64)))</formula>
    </cfRule>
  </conditionalFormatting>
  <conditionalFormatting sqref="N64:N68">
    <cfRule type="expression" dxfId="61" priority="1">
      <formula>ISNUMBER(N64)=FALSE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68" xr:uid="{00000000-0002-0000-0300-000000000000}"/>
    <dataValidation allowBlank="1" showInputMessage="1" showErrorMessage="1" error="Please encode City of Destination" prompt="Please encode City of Destination" sqref="I13:I68" xr:uid="{00000000-0002-0000-0300-000001000000}"/>
    <dataValidation type="whole" allowBlank="1" showInputMessage="1" showErrorMessage="1" error="Format error (whole number only)" prompt="Please encode number (whole number only)" sqref="H13:H68" xr:uid="{00000000-0002-0000-0300-000002000000}">
      <formula1>0</formula1>
      <formula2>50000</formula2>
    </dataValidation>
    <dataValidation allowBlank="1" showInputMessage="1" showErrorMessage="1" error="Please encode City of Departure" prompt="Please encode City of Departure" sqref="F13:F68"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68" xr:uid="{00000000-0002-0000-0300-000004000000}">
      <formula1>0</formula1>
      <formula2>90</formula2>
    </dataValidation>
    <dataValidation type="list" allowBlank="1" showInputMessage="1" showErrorMessage="1" error="Click arrow to select Category" prompt="Click arrow to select Category" sqref="G13:G68" xr:uid="{00000000-0002-0000-0300-000005000000}">
      <formula1>Category2</formula1>
    </dataValidation>
    <dataValidation type="list" allowBlank="1" showInputMessage="1" showErrorMessage="1" error="Click arrow to select Work Package" prompt="Click arrow to select Work Package" sqref="B13:B68" xr:uid="{00000000-0002-0000-0300-000006000000}">
      <formula1>WorkPackage</formula1>
    </dataValidation>
    <dataValidation type="list" allowBlank="1" showInputMessage="1" showErrorMessage="1" error="Click arrow to select Distance" prompt="Click arrow to select Distance" sqref="J13:J68" xr:uid="{00000000-0002-0000-0300-000007000000}">
      <formula1>TravelBands</formula1>
    </dataValidation>
    <dataValidation type="list" allowBlank="1" showInputMessage="1" showErrorMessage="1" error="Click arrow to select Partner N°" prompt="Click arrow to select Partner N°" sqref="C13:C68" xr:uid="{00000000-0002-0000-0300-000008000000}">
      <formula1>PartnerN°</formula1>
    </dataValidation>
    <dataValidation type="list" allowBlank="1" showInputMessage="1" showErrorMessage="1" errorTitle="Select correct option" error="Please use the drop down menu to select the correct option" sqref="L13:L68" xr:uid="{00000000-0002-0000-0300-000009000000}">
      <formula1>Exceptional_costs</formula1>
    </dataValidation>
    <dataValidation type="decimal" operator="greaterThanOrEqual" allowBlank="1" showInputMessage="1" showErrorMessage="1" errorTitle="Warning: Cost must be number" error="Please enter a numeric value." sqref="M13:M68"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2117271</xdr:colOff>
                    <xdr:row>1</xdr:row>
                    <xdr:rowOff>87086</xdr:rowOff>
                  </from>
                  <to>
                    <xdr:col>4</xdr:col>
                    <xdr:colOff>522514</xdr:colOff>
                    <xdr:row>1</xdr:row>
                    <xdr:rowOff>446314</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87086</xdr:rowOff>
                  </from>
                  <to>
                    <xdr:col>1</xdr:col>
                    <xdr:colOff>1877786</xdr:colOff>
                    <xdr:row>1</xdr:row>
                    <xdr:rowOff>446314</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87086</xdr:rowOff>
                  </from>
                  <to>
                    <xdr:col>3</xdr:col>
                    <xdr:colOff>174171</xdr:colOff>
                    <xdr:row>1</xdr:row>
                    <xdr:rowOff>446314</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239486</xdr:colOff>
                    <xdr:row>1</xdr:row>
                    <xdr:rowOff>87086</xdr:rowOff>
                  </from>
                  <to>
                    <xdr:col>3</xdr:col>
                    <xdr:colOff>2041071</xdr:colOff>
                    <xdr:row>1</xdr:row>
                    <xdr:rowOff>446314</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topLeftCell="B1" zoomScaleNormal="100" zoomScaleSheetLayoutView="55" workbookViewId="0">
      <pane ySplit="13" topLeftCell="A14" activePane="bottomLeft" state="frozen"/>
      <selection pane="bottomLeft" activeCell="B14" sqref="B14"/>
    </sheetView>
  </sheetViews>
  <sheetFormatPr defaultColWidth="9.15234375" defaultRowHeight="18" x14ac:dyDescent="0.45"/>
  <cols>
    <col min="1" max="1" width="1.69140625" style="1" customWidth="1"/>
    <col min="2" max="2" width="42.69140625" style="1" customWidth="1"/>
    <col min="3" max="3" width="10.69140625" style="1" customWidth="1"/>
    <col min="4" max="5" width="50.69140625" style="1" customWidth="1"/>
    <col min="6" max="6" width="120.69140625" style="1" customWidth="1"/>
    <col min="7" max="8" width="20.69140625" style="1" customWidth="1"/>
    <col min="9" max="9" width="11.69140625" style="1" customWidth="1"/>
    <col min="10" max="10" width="1.69140625" style="1" customWidth="1"/>
    <col min="11" max="16384" width="9.15234375" style="1"/>
  </cols>
  <sheetData>
    <row r="1" spans="2:9" ht="8.15" customHeight="1" x14ac:dyDescent="0.45">
      <c r="B1" s="171"/>
      <c r="C1" s="171"/>
      <c r="D1" s="171"/>
      <c r="E1" s="171"/>
      <c r="F1" s="171"/>
      <c r="G1" s="171"/>
      <c r="H1" s="171"/>
      <c r="I1" s="171"/>
    </row>
    <row r="2" spans="2:9" s="20" customFormat="1" ht="40" customHeight="1" x14ac:dyDescent="0.45">
      <c r="B2" s="142" t="s">
        <v>185</v>
      </c>
      <c r="C2" s="142"/>
      <c r="D2" s="142"/>
      <c r="E2" s="142"/>
      <c r="F2" s="142"/>
      <c r="G2" s="142"/>
      <c r="H2" s="142"/>
      <c r="I2" s="142"/>
    </row>
    <row r="3" spans="2:9" s="20" customFormat="1" ht="8.15" customHeight="1" x14ac:dyDescent="0.45">
      <c r="B3" s="128"/>
      <c r="C3" s="129"/>
      <c r="D3" s="129"/>
      <c r="E3" s="129"/>
      <c r="F3" s="129"/>
      <c r="G3" s="129"/>
      <c r="H3" s="129"/>
      <c r="I3" s="130"/>
    </row>
    <row r="4" spans="2:9" s="20" customFormat="1" ht="10" customHeight="1" x14ac:dyDescent="0.45">
      <c r="B4" s="174" t="s">
        <v>184</v>
      </c>
      <c r="C4" s="177">
        <f>SUM(H:H)</f>
        <v>220000</v>
      </c>
      <c r="D4" s="178"/>
      <c r="E4" s="122"/>
      <c r="F4" s="123"/>
      <c r="G4" s="123"/>
      <c r="H4" s="123"/>
      <c r="I4" s="124"/>
    </row>
    <row r="5" spans="2:9" s="20" customFormat="1" ht="10" customHeight="1" x14ac:dyDescent="0.45">
      <c r="B5" s="175"/>
      <c r="C5" s="179"/>
      <c r="D5" s="180"/>
      <c r="E5" s="122"/>
      <c r="F5" s="123"/>
      <c r="G5" s="123"/>
      <c r="H5" s="123"/>
      <c r="I5" s="124"/>
    </row>
    <row r="6" spans="2:9" s="20" customFormat="1" ht="10" customHeight="1" x14ac:dyDescent="0.45">
      <c r="B6" s="175"/>
      <c r="C6" s="179"/>
      <c r="D6" s="180"/>
      <c r="E6" s="122"/>
      <c r="F6" s="123"/>
      <c r="G6" s="123"/>
      <c r="H6" s="123"/>
      <c r="I6" s="124"/>
    </row>
    <row r="7" spans="2:9" s="20" customFormat="1" ht="10" customHeight="1" x14ac:dyDescent="0.45">
      <c r="B7" s="175"/>
      <c r="C7" s="179"/>
      <c r="D7" s="180"/>
      <c r="E7" s="122"/>
      <c r="F7" s="123"/>
      <c r="G7" s="123"/>
      <c r="H7" s="123"/>
      <c r="I7" s="124"/>
    </row>
    <row r="8" spans="2:9" s="20" customFormat="1" ht="10" customHeight="1" x14ac:dyDescent="0.45">
      <c r="B8" s="175"/>
      <c r="C8" s="179"/>
      <c r="D8" s="180"/>
      <c r="E8" s="122"/>
      <c r="F8" s="123"/>
      <c r="G8" s="123"/>
      <c r="H8" s="123"/>
      <c r="I8" s="124"/>
    </row>
    <row r="9" spans="2:9" s="20" customFormat="1" ht="10" customHeight="1" x14ac:dyDescent="0.45">
      <c r="B9" s="176"/>
      <c r="C9" s="181"/>
      <c r="D9" s="182"/>
      <c r="E9" s="122"/>
      <c r="F9" s="123"/>
      <c r="G9" s="123"/>
      <c r="H9" s="123"/>
      <c r="I9" s="124"/>
    </row>
    <row r="10" spans="2:9" s="20" customFormat="1" ht="8.15" customHeight="1" x14ac:dyDescent="0.45">
      <c r="B10" s="125"/>
      <c r="C10" s="126"/>
      <c r="D10" s="126"/>
      <c r="E10" s="126"/>
      <c r="F10" s="126"/>
      <c r="G10" s="126"/>
      <c r="H10" s="126"/>
      <c r="I10" s="127"/>
    </row>
    <row r="11" spans="2:9" s="45" customFormat="1" ht="42" customHeight="1" x14ac:dyDescent="0.45">
      <c r="B11" s="120" t="s">
        <v>162</v>
      </c>
      <c r="C11" s="120" t="s">
        <v>147</v>
      </c>
      <c r="D11" s="120" t="s">
        <v>216</v>
      </c>
      <c r="E11" s="173" t="s">
        <v>217</v>
      </c>
      <c r="F11" s="132" t="s">
        <v>132</v>
      </c>
      <c r="G11" s="172" t="s">
        <v>165</v>
      </c>
      <c r="H11" s="172" t="s">
        <v>164</v>
      </c>
      <c r="I11" s="172" t="s">
        <v>218</v>
      </c>
    </row>
    <row r="12" spans="2:9" ht="23.9" customHeight="1" x14ac:dyDescent="0.45">
      <c r="B12" s="121"/>
      <c r="C12" s="121"/>
      <c r="D12" s="121"/>
      <c r="E12" s="132"/>
      <c r="F12" s="121"/>
      <c r="G12" s="121"/>
      <c r="H12" s="121"/>
      <c r="I12" s="121"/>
    </row>
    <row r="13" spans="2:9" s="34" customFormat="1" hidden="1" x14ac:dyDescent="0.4">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4">
      <c r="B14" s="14" t="s">
        <v>173</v>
      </c>
      <c r="C14" s="19" t="s">
        <v>16</v>
      </c>
      <c r="D14" s="42" t="str">
        <f>IFERROR(IF(VLOOKUP(C14,PartnerN°Ref,2,FALSE)=0,"",VLOOKUP(C14,PartnerN°Ref,2,FALSE)),"")</f>
        <v>International Burch University</v>
      </c>
      <c r="E14" s="42" t="str">
        <f>IFERROR(IF(OR(VLOOKUP(C14,PartnerN°Ref,4,FALSE)="Country not found",VLOOKUP(C14,PartnerN°Ref,3,FALSE)=0),"",VLOOKUP(C14,PartnerN°Ref,3,FALSE)),"")</f>
        <v>Bosnia and Herzegovina</v>
      </c>
      <c r="F14" s="213" t="s">
        <v>384</v>
      </c>
      <c r="G14" s="35">
        <v>70000</v>
      </c>
      <c r="H14" s="36">
        <f>IF(I14="Error",0,ROUND(G14,2))</f>
        <v>70000</v>
      </c>
      <c r="I14" s="33" t="str">
        <f>IF(OR(COUNTIF(WorkPackage,B14)=0,COUNTIF(PartnerN°,C14)=0,D14="",COUNTIF(CountryEligEquip,E14)=0,F14="",ISNUMBER(G14)=FALSE,IF(ISNUMBER(G14)=TRUE,G14=INT(G14*100)/100=FALSE)),"Error","")</f>
        <v/>
      </c>
    </row>
    <row r="15" spans="2:9" s="216" customFormat="1" x14ac:dyDescent="0.4">
      <c r="B15" s="212" t="s">
        <v>173</v>
      </c>
      <c r="C15" s="214" t="s">
        <v>16</v>
      </c>
      <c r="D15" s="219" t="str">
        <f>IFERROR(IF(VLOOKUP(C15,PartnerN°Ref,2,FALSE)=0,"",VLOOKUP(C15,PartnerN°Ref,2,FALSE)),"")</f>
        <v>International Burch University</v>
      </c>
      <c r="E15" s="219" t="str">
        <f>IFERROR(IF(OR(VLOOKUP(C15,PartnerN°Ref,4,FALSE)="Country not found",VLOOKUP(C15,PartnerN°Ref,3,FALSE)=0),"",VLOOKUP(C15,PartnerN°Ref,3,FALSE)),"")</f>
        <v>Bosnia and Herzegovina</v>
      </c>
      <c r="F15" s="220" t="s">
        <v>385</v>
      </c>
      <c r="G15" s="217">
        <v>80000</v>
      </c>
      <c r="H15" s="218">
        <f>IF(I15="Error",0,ROUND(G15,2))</f>
        <v>80000</v>
      </c>
      <c r="I15" s="215" t="str">
        <f>IF(OR(COUNTIF(WorkPackage,B15)=0,COUNTIF(PartnerN°,C15)=0,D15="",COUNTIF(CountryEligEquip,E15)=0,F15="",ISNUMBER(G15)=FALSE,IF(ISNUMBER(G15)=TRUE,G15=INT(G15*100)/100=FALSE)),"Error","")</f>
        <v/>
      </c>
    </row>
    <row r="16" spans="2:9" s="216" customFormat="1" x14ac:dyDescent="0.4">
      <c r="B16" s="212" t="s">
        <v>172</v>
      </c>
      <c r="C16" s="214" t="s">
        <v>16</v>
      </c>
      <c r="D16" s="219" t="str">
        <f>IFERROR(IF(VLOOKUP(C16,PartnerN°Ref,2,FALSE)=0,"",VLOOKUP(C16,PartnerN°Ref,2,FALSE)),"")</f>
        <v>International Burch University</v>
      </c>
      <c r="E16" s="219" t="str">
        <f>IFERROR(IF(OR(VLOOKUP(C16,PartnerN°Ref,4,FALSE)="Country not found",VLOOKUP(C16,PartnerN°Ref,3,FALSE)=0),"",VLOOKUP(C16,PartnerN°Ref,3,FALSE)),"")</f>
        <v>Bosnia and Herzegovina</v>
      </c>
      <c r="F16" s="221" t="s">
        <v>386</v>
      </c>
      <c r="G16" s="217">
        <v>70000</v>
      </c>
      <c r="H16" s="218">
        <f>IF(I16="Error",0,ROUND(G16,2))</f>
        <v>70000</v>
      </c>
      <c r="I16" s="215" t="str">
        <f>IF(OR(COUNTIF(WorkPackage,B16)=0,COUNTIF(PartnerN°,C16)=0,D16="",COUNTIF(CountryEligEquip,E16)=0,F16="",ISNUMBER(G16)=FALSE,IF(ISNUMBER(G16)=TRUE,G16=INT(G16*100)/100=FALSE)),"Error","")</f>
        <v/>
      </c>
    </row>
  </sheetData>
  <sheetProtection algorithmName="SHA-512" hashValue="+Wc5G2pW/tIuaubD++ibgXGZ1SflaHGRJqkciX2+4yrZnRUMP9wrYCk114nY+2buu2xVDjlPcbcfZmfU/7Hl/Q==" saltValue="HYTi9HemRi6Kuwot6dk4A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60" priority="372" operator="containsText" text="Error">
      <formula>NOT(ISERROR(SEARCH("Error",I13)))</formula>
    </cfRule>
  </conditionalFormatting>
  <conditionalFormatting sqref="D13:E16">
    <cfRule type="containsBlanks" dxfId="59" priority="367">
      <formula>LEN(TRIM(D13))=0</formula>
    </cfRule>
  </conditionalFormatting>
  <conditionalFormatting sqref="E13">
    <cfRule type="expression" dxfId="58" priority="289">
      <formula>COUNTIF(CountryEligEquip,E13)=0</formula>
    </cfRule>
  </conditionalFormatting>
  <conditionalFormatting sqref="E14">
    <cfRule type="expression" dxfId="57" priority="290">
      <formula>COUNTIF(CountryEligEquip,E14)=0</formula>
    </cfRule>
  </conditionalFormatting>
  <conditionalFormatting sqref="G13">
    <cfRule type="cellIs" dxfId="56" priority="18" operator="lessThanOrEqual">
      <formula>0</formula>
    </cfRule>
  </conditionalFormatting>
  <conditionalFormatting sqref="F13:G13">
    <cfRule type="containsBlanks" dxfId="55" priority="15">
      <formula>LEN(TRIM(F13))=0</formula>
    </cfRule>
  </conditionalFormatting>
  <conditionalFormatting sqref="G14">
    <cfRule type="cellIs" dxfId="54" priority="14" operator="lessThanOrEqual">
      <formula>0</formula>
    </cfRule>
  </conditionalFormatting>
  <conditionalFormatting sqref="F14:G14">
    <cfRule type="containsBlanks" dxfId="53" priority="13">
      <formula>LEN(TRIM(F14))=0</formula>
    </cfRule>
  </conditionalFormatting>
  <conditionalFormatting sqref="B13:C13">
    <cfRule type="containsBlanks" dxfId="52" priority="12">
      <formula>LEN(TRIM(B13))=0</formula>
    </cfRule>
  </conditionalFormatting>
  <conditionalFormatting sqref="B14:C14">
    <cfRule type="containsBlanks" dxfId="51" priority="11">
      <formula>LEN(TRIM(B14))=0</formula>
    </cfRule>
  </conditionalFormatting>
  <conditionalFormatting sqref="E15:E16">
    <cfRule type="expression" dxfId="50" priority="4">
      <formula>COUNTIF(CountryEligEquip,E15)=0</formula>
    </cfRule>
  </conditionalFormatting>
  <conditionalFormatting sqref="G15:G16">
    <cfRule type="cellIs" dxfId="49" priority="3" operator="lessThanOrEqual">
      <formula>0</formula>
    </cfRule>
  </conditionalFormatting>
  <conditionalFormatting sqref="F15:G16">
    <cfRule type="containsBlanks" dxfId="48" priority="2">
      <formula>LEN(TRIM(F15))=0</formula>
    </cfRule>
  </conditionalFormatting>
  <conditionalFormatting sqref="B15:C16">
    <cfRule type="containsBlanks" dxfId="47" priority="1">
      <formula>LEN(TRIM(B15))=0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87086</xdr:rowOff>
                  </from>
                  <to>
                    <xdr:col>1</xdr:col>
                    <xdr:colOff>1877786</xdr:colOff>
                    <xdr:row>1</xdr:row>
                    <xdr:rowOff>446314</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87086</xdr:rowOff>
                  </from>
                  <to>
                    <xdr:col>3</xdr:col>
                    <xdr:colOff>174171</xdr:colOff>
                    <xdr:row>1</xdr:row>
                    <xdr:rowOff>446314</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239486</xdr:colOff>
                    <xdr:row>1</xdr:row>
                    <xdr:rowOff>87086</xdr:rowOff>
                  </from>
                  <to>
                    <xdr:col>3</xdr:col>
                    <xdr:colOff>2041071</xdr:colOff>
                    <xdr:row>1</xdr:row>
                    <xdr:rowOff>446314</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zoomScale="70" zoomScaleNormal="70" zoomScaleSheetLayoutView="55" workbookViewId="0">
      <pane ySplit="13" topLeftCell="A14" activePane="bottomLeft" state="frozen"/>
      <selection pane="bottomLeft" activeCell="B14" sqref="B14"/>
    </sheetView>
  </sheetViews>
  <sheetFormatPr defaultColWidth="9.15234375" defaultRowHeight="18" x14ac:dyDescent="0.45"/>
  <cols>
    <col min="1" max="1" width="1.69140625" style="1" customWidth="1"/>
    <col min="2" max="2" width="42.69140625" style="1" customWidth="1"/>
    <col min="3" max="3" width="10.69140625" style="1" customWidth="1"/>
    <col min="4" max="5" width="50.69140625" style="1" customWidth="1"/>
    <col min="6" max="6" width="120.69140625" style="1" customWidth="1"/>
    <col min="7" max="8" width="20.69140625" style="1" customWidth="1"/>
    <col min="9" max="9" width="11.69140625" style="1" customWidth="1"/>
    <col min="10" max="10" width="1.69140625" style="1" customWidth="1"/>
    <col min="11" max="16384" width="9.15234375" style="1"/>
  </cols>
  <sheetData>
    <row r="1" spans="2:9" ht="8.15" customHeight="1" x14ac:dyDescent="0.45">
      <c r="B1" s="171"/>
      <c r="C1" s="171"/>
      <c r="D1" s="171"/>
      <c r="E1" s="171"/>
      <c r="F1" s="171"/>
      <c r="G1" s="171"/>
      <c r="H1" s="171"/>
      <c r="I1" s="171"/>
    </row>
    <row r="2" spans="2:9" s="20" customFormat="1" ht="40" customHeight="1" x14ac:dyDescent="0.45">
      <c r="B2" s="142" t="s">
        <v>186</v>
      </c>
      <c r="C2" s="142"/>
      <c r="D2" s="142"/>
      <c r="E2" s="142"/>
      <c r="F2" s="142"/>
      <c r="G2" s="142"/>
      <c r="H2" s="142"/>
      <c r="I2" s="142"/>
    </row>
    <row r="3" spans="2:9" s="20" customFormat="1" ht="8.15" customHeight="1" x14ac:dyDescent="0.45">
      <c r="B3" s="128"/>
      <c r="C3" s="129"/>
      <c r="D3" s="129"/>
      <c r="E3" s="129"/>
      <c r="F3" s="129"/>
      <c r="G3" s="129"/>
      <c r="H3" s="129"/>
      <c r="I3" s="130"/>
    </row>
    <row r="4" spans="2:9" s="20" customFormat="1" ht="10" customHeight="1" x14ac:dyDescent="0.45">
      <c r="B4" s="174" t="s">
        <v>184</v>
      </c>
      <c r="C4" s="177">
        <f>SUM(H:H)</f>
        <v>63000</v>
      </c>
      <c r="D4" s="178"/>
      <c r="E4" s="122"/>
      <c r="F4" s="123"/>
      <c r="G4" s="123"/>
      <c r="H4" s="123"/>
      <c r="I4" s="124"/>
    </row>
    <row r="5" spans="2:9" s="20" customFormat="1" ht="10" customHeight="1" x14ac:dyDescent="0.45">
      <c r="B5" s="175"/>
      <c r="C5" s="179"/>
      <c r="D5" s="180"/>
      <c r="E5" s="122"/>
      <c r="F5" s="123"/>
      <c r="G5" s="123"/>
      <c r="H5" s="123"/>
      <c r="I5" s="124"/>
    </row>
    <row r="6" spans="2:9" s="20" customFormat="1" ht="10" customHeight="1" x14ac:dyDescent="0.45">
      <c r="B6" s="175"/>
      <c r="C6" s="179"/>
      <c r="D6" s="180"/>
      <c r="E6" s="122"/>
      <c r="F6" s="123"/>
      <c r="G6" s="123"/>
      <c r="H6" s="123"/>
      <c r="I6" s="124"/>
    </row>
    <row r="7" spans="2:9" s="20" customFormat="1" ht="10" customHeight="1" x14ac:dyDescent="0.45">
      <c r="B7" s="175"/>
      <c r="C7" s="179"/>
      <c r="D7" s="180"/>
      <c r="E7" s="122"/>
      <c r="F7" s="123"/>
      <c r="G7" s="123"/>
      <c r="H7" s="123"/>
      <c r="I7" s="124"/>
    </row>
    <row r="8" spans="2:9" s="20" customFormat="1" ht="10" customHeight="1" x14ac:dyDescent="0.45">
      <c r="B8" s="175"/>
      <c r="C8" s="179"/>
      <c r="D8" s="180"/>
      <c r="E8" s="122"/>
      <c r="F8" s="123"/>
      <c r="G8" s="123"/>
      <c r="H8" s="123"/>
      <c r="I8" s="124"/>
    </row>
    <row r="9" spans="2:9" s="20" customFormat="1" ht="10" customHeight="1" x14ac:dyDescent="0.45">
      <c r="B9" s="176"/>
      <c r="C9" s="181"/>
      <c r="D9" s="182"/>
      <c r="E9" s="122"/>
      <c r="F9" s="123"/>
      <c r="G9" s="123"/>
      <c r="H9" s="123"/>
      <c r="I9" s="124"/>
    </row>
    <row r="10" spans="2:9" s="20" customFormat="1" ht="8.15" customHeight="1" x14ac:dyDescent="0.45">
      <c r="B10" s="125"/>
      <c r="C10" s="126"/>
      <c r="D10" s="126"/>
      <c r="E10" s="126"/>
      <c r="F10" s="126"/>
      <c r="G10" s="126"/>
      <c r="H10" s="126"/>
      <c r="I10" s="127"/>
    </row>
    <row r="11" spans="2:9" s="45" customFormat="1" ht="42" customHeight="1" x14ac:dyDescent="0.45">
      <c r="B11" s="120" t="s">
        <v>162</v>
      </c>
      <c r="C11" s="120" t="s">
        <v>147</v>
      </c>
      <c r="D11" s="120" t="s">
        <v>216</v>
      </c>
      <c r="E11" s="120" t="s">
        <v>217</v>
      </c>
      <c r="F11" s="132" t="s">
        <v>132</v>
      </c>
      <c r="G11" s="172" t="s">
        <v>165</v>
      </c>
      <c r="H11" s="172" t="s">
        <v>164</v>
      </c>
      <c r="I11" s="172" t="s">
        <v>218</v>
      </c>
    </row>
    <row r="12" spans="2:9" ht="23.9" customHeight="1" x14ac:dyDescent="0.45">
      <c r="B12" s="121"/>
      <c r="C12" s="121"/>
      <c r="D12" s="121"/>
      <c r="E12" s="121"/>
      <c r="F12" s="121"/>
      <c r="G12" s="121"/>
      <c r="H12" s="121"/>
      <c r="I12" s="121"/>
    </row>
    <row r="13" spans="2:9" s="34" customFormat="1" hidden="1" x14ac:dyDescent="0.4">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4">
      <c r="B14" s="14" t="s">
        <v>173</v>
      </c>
      <c r="C14" s="19" t="s">
        <v>8</v>
      </c>
      <c r="D14" s="42" t="str">
        <f>IFERROR(IF(VLOOKUP(C14,PartnerN°Ref,2,FALSE)=0,"",VLOOKUP(C14,PartnerN°Ref,2,FALSE)),"")</f>
        <v>MMADD</v>
      </c>
      <c r="E14" s="42" t="str">
        <f>IFERROR(IF(OR(VLOOKUP(C14,PartnerN°Ref,4,FALSE)="Country not found",VLOOKUP(C14,PartnerN°Ref,3,FALSE)=0),"",VLOOKUP(C14,PartnerN°Ref,3,FALSE)),"")</f>
        <v>Serbia</v>
      </c>
      <c r="F14" s="229" t="s">
        <v>387</v>
      </c>
      <c r="G14" s="35">
        <v>18000</v>
      </c>
      <c r="H14" s="36">
        <f>IF(I14="Error",0,ROUND(G14,2))</f>
        <v>18000</v>
      </c>
      <c r="I14" s="33" t="str">
        <f>IF(OR(COUNTIF(WorkPackage,B14)=0,COUNTIF(PartnerN°,C14)=0,D14="",COUNTIF(CountryALL,E14)=0,F14="",ISNUMBER(G14)=FALSE,IF(ISNUMBER(G14)=TRUE,G14=INT(G14*100)/100=FALSE)),"Error","")</f>
        <v/>
      </c>
    </row>
    <row r="15" spans="2:9" s="225" customFormat="1" ht="36" x14ac:dyDescent="0.4">
      <c r="B15" s="222" t="s">
        <v>319</v>
      </c>
      <c r="C15" s="223" t="s">
        <v>11</v>
      </c>
      <c r="D15" s="228" t="str">
        <f>IFERROR(IF(VLOOKUP(C15,PartnerN°Ref,2,FALSE)=0,"",VLOOKUP(C15,PartnerN°Ref,2,FALSE)),"")</f>
        <v>Fakultet elektrotehnike i računarstva (FER)</v>
      </c>
      <c r="E15" s="228" t="str">
        <f>IFERROR(IF(OR(VLOOKUP(C15,PartnerN°Ref,4,FALSE)="Country not found",VLOOKUP(C15,PartnerN°Ref,3,FALSE)=0),"",VLOOKUP(C15,PartnerN°Ref,3,FALSE)),"")</f>
        <v>Croatia</v>
      </c>
      <c r="F15" s="231" t="s">
        <v>388</v>
      </c>
      <c r="G15" s="226">
        <v>12000</v>
      </c>
      <c r="H15" s="227">
        <f>IF(I15="Error",0,ROUND(G15,2))</f>
        <v>12000</v>
      </c>
      <c r="I15" s="224" t="str">
        <f>IF(OR(COUNTIF(WorkPackage,B15)=0,COUNTIF(PartnerN°,C15)=0,D15="",COUNTIF(CountryALL,E15)=0,F15="",ISNUMBER(G15)=FALSE,IF(ISNUMBER(G15)=TRUE,G15=INT(G15*100)/100=FALSE)),"Error","")</f>
        <v/>
      </c>
    </row>
    <row r="16" spans="2:9" s="234" customFormat="1" x14ac:dyDescent="0.4">
      <c r="B16" s="230" t="s">
        <v>319</v>
      </c>
      <c r="C16" s="232" t="s">
        <v>16</v>
      </c>
      <c r="D16" s="237" t="str">
        <f>IFERROR(IF(VLOOKUP(C16,PartnerN°Ref,2,FALSE)=0,"",VLOOKUP(C16,PartnerN°Ref,2,FALSE)),"")</f>
        <v>International Burch University</v>
      </c>
      <c r="E16" s="237" t="str">
        <f>IFERROR(IF(OR(VLOOKUP(C16,PartnerN°Ref,4,FALSE)="Country not found",VLOOKUP(C16,PartnerN°Ref,3,FALSE)=0),"",VLOOKUP(C16,PartnerN°Ref,3,FALSE)),"")</f>
        <v>Bosnia and Herzegovina</v>
      </c>
      <c r="F16" s="238" t="s">
        <v>389</v>
      </c>
      <c r="G16" s="235">
        <v>13000</v>
      </c>
      <c r="H16" s="236">
        <f>IF(I16="Error",0,ROUND(G16,2))</f>
        <v>13000</v>
      </c>
      <c r="I16" s="233" t="str">
        <f>IF(OR(COUNTIF(WorkPackage,B16)=0,COUNTIF(PartnerN°,C16)=0,D16="",COUNTIF(CountryALL,E16)=0,F16="",ISNUMBER(G16)=FALSE,IF(ISNUMBER(G16)=TRUE,G16=INT(G16*100)/100=FALSE)),"Error","")</f>
        <v/>
      </c>
    </row>
    <row r="17" spans="2:9" s="234" customFormat="1" x14ac:dyDescent="0.4">
      <c r="B17" s="230" t="s">
        <v>174</v>
      </c>
      <c r="C17" s="232" t="s">
        <v>14</v>
      </c>
      <c r="D17" s="237" t="str">
        <f>IFERROR(IF(VLOOKUP(C17,PartnerN°Ref,2,FALSE)=0,"",VLOOKUP(C17,PartnerN°Ref,2,FALSE)),"")</f>
        <v>Station F</v>
      </c>
      <c r="E17" s="237" t="str">
        <f>IFERROR(IF(OR(VLOOKUP(C17,PartnerN°Ref,4,FALSE)="Country not found",VLOOKUP(C17,PartnerN°Ref,3,FALSE)=0),"",VLOOKUP(C17,PartnerN°Ref,3,FALSE)),"")</f>
        <v>France</v>
      </c>
      <c r="F17" s="240" t="s">
        <v>390</v>
      </c>
      <c r="G17" s="235">
        <v>20000</v>
      </c>
      <c r="H17" s="236">
        <f>IF(I17="Error",0,ROUND(G17,2))</f>
        <v>20000</v>
      </c>
      <c r="I17" s="233" t="str">
        <f>IF(OR(COUNTIF(WorkPackage,B17)=0,COUNTIF(PartnerN°,C17)=0,D17="",COUNTIF(CountryALL,E17)=0,F17="",ISNUMBER(G17)=FALSE,IF(ISNUMBER(G17)=TRUE,G17=INT(G17*100)/100=FALSE)),"Error","")</f>
        <v/>
      </c>
    </row>
  </sheetData>
  <sheetProtection algorithmName="SHA-512" hashValue="3zVaJpboVpvge5kJQA5XYD+1ppENt4gRcrWEnBfBEG24Q3N+6k0j6M/iDoPPjIUnyfOzBhInCJKEifC36j4U1w==" saltValue="fazs7pgZX66HPbw+1SlC+Q=="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7">
    <cfRule type="containsText" dxfId="46" priority="198" operator="containsText" text="Error">
      <formula>NOT(ISERROR(SEARCH("Error",I13)))</formula>
    </cfRule>
  </conditionalFormatting>
  <conditionalFormatting sqref="D13:E17">
    <cfRule type="containsBlanks" dxfId="45" priority="192">
      <formula>LEN(TRIM(D13))=0</formula>
    </cfRule>
  </conditionalFormatting>
  <conditionalFormatting sqref="G13">
    <cfRule type="cellIs" dxfId="44" priority="17" operator="lessThanOrEqual">
      <formula>0</formula>
    </cfRule>
  </conditionalFormatting>
  <conditionalFormatting sqref="F13:G13">
    <cfRule type="containsBlanks" dxfId="43" priority="14">
      <formula>LEN(TRIM(F13))=0</formula>
    </cfRule>
  </conditionalFormatting>
  <conditionalFormatting sqref="G14">
    <cfRule type="cellIs" dxfId="42" priority="13" operator="lessThanOrEqual">
      <formula>0</formula>
    </cfRule>
  </conditionalFormatting>
  <conditionalFormatting sqref="F14:G14">
    <cfRule type="containsBlanks" dxfId="41" priority="12">
      <formula>LEN(TRIM(F14))=0</formula>
    </cfRule>
  </conditionalFormatting>
  <conditionalFormatting sqref="B13:C13">
    <cfRule type="containsBlanks" dxfId="40" priority="11">
      <formula>LEN(TRIM(B13))=0</formula>
    </cfRule>
  </conditionalFormatting>
  <conditionalFormatting sqref="B14:C14">
    <cfRule type="containsBlanks" dxfId="39" priority="10">
      <formula>LEN(TRIM(B14))=0</formula>
    </cfRule>
  </conditionalFormatting>
  <conditionalFormatting sqref="G15">
    <cfRule type="cellIs" dxfId="38" priority="9" operator="lessThanOrEqual">
      <formula>0</formula>
    </cfRule>
  </conditionalFormatting>
  <conditionalFormatting sqref="F15:G15">
    <cfRule type="containsBlanks" dxfId="37" priority="8">
      <formula>LEN(TRIM(F15))=0</formula>
    </cfRule>
  </conditionalFormatting>
  <conditionalFormatting sqref="B15:C15">
    <cfRule type="containsBlanks" dxfId="36" priority="7">
      <formula>LEN(TRIM(B15))=0</formula>
    </cfRule>
  </conditionalFormatting>
  <conditionalFormatting sqref="G16">
    <cfRule type="cellIs" dxfId="35" priority="6" operator="lessThanOrEqual">
      <formula>0</formula>
    </cfRule>
  </conditionalFormatting>
  <conditionalFormatting sqref="F16:G16">
    <cfRule type="containsBlanks" dxfId="34" priority="5">
      <formula>LEN(TRIM(F16))=0</formula>
    </cfRule>
  </conditionalFormatting>
  <conditionalFormatting sqref="B16:C16">
    <cfRule type="containsBlanks" dxfId="33" priority="4">
      <formula>LEN(TRIM(B16))=0</formula>
    </cfRule>
  </conditionalFormatting>
  <conditionalFormatting sqref="G17">
    <cfRule type="cellIs" dxfId="32" priority="3" operator="lessThanOrEqual">
      <formula>0</formula>
    </cfRule>
  </conditionalFormatting>
  <conditionalFormatting sqref="F17:G17">
    <cfRule type="containsBlanks" dxfId="31" priority="2">
      <formula>LEN(TRIM(F17))=0</formula>
    </cfRule>
  </conditionalFormatting>
  <conditionalFormatting sqref="B17:C17">
    <cfRule type="containsBlanks" dxfId="30"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87086</xdr:rowOff>
                  </from>
                  <to>
                    <xdr:col>1</xdr:col>
                    <xdr:colOff>1877786</xdr:colOff>
                    <xdr:row>1</xdr:row>
                    <xdr:rowOff>446314</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87086</xdr:rowOff>
                  </from>
                  <to>
                    <xdr:col>3</xdr:col>
                    <xdr:colOff>174171</xdr:colOff>
                    <xdr:row>1</xdr:row>
                    <xdr:rowOff>446314</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239486</xdr:colOff>
                    <xdr:row>1</xdr:row>
                    <xdr:rowOff>87086</xdr:rowOff>
                  </from>
                  <to>
                    <xdr:col>3</xdr:col>
                    <xdr:colOff>2041071</xdr:colOff>
                    <xdr:row>1</xdr:row>
                    <xdr:rowOff>446314</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zoomScale="70" zoomScaleNormal="70" zoomScaleSheetLayoutView="55" workbookViewId="0">
      <pane ySplit="13" topLeftCell="A14" activePane="bottomLeft" state="frozen"/>
      <selection pane="bottomLeft" activeCell="B16" sqref="B16"/>
    </sheetView>
  </sheetViews>
  <sheetFormatPr defaultColWidth="9.15234375" defaultRowHeight="18" x14ac:dyDescent="0.45"/>
  <cols>
    <col min="1" max="1" width="1.69140625" style="1" customWidth="1"/>
    <col min="2" max="2" width="28.69140625" style="1" customWidth="1"/>
    <col min="3" max="4" width="50.69140625" style="1" customWidth="1"/>
    <col min="5" max="5" width="40.69140625" style="1" customWidth="1"/>
    <col min="6" max="6" width="39.69140625" style="1" customWidth="1"/>
    <col min="7" max="7" width="60.69140625" style="1" customWidth="1"/>
    <col min="8" max="9" width="20.69140625" style="1" customWidth="1"/>
    <col min="10" max="10" width="11.69140625" style="1" customWidth="1"/>
    <col min="11" max="11" width="1.69140625" style="1" customWidth="1"/>
    <col min="12" max="16384" width="9.15234375" style="1"/>
  </cols>
  <sheetData>
    <row r="1" spans="2:10" ht="8.15" customHeight="1" x14ac:dyDescent="0.45">
      <c r="B1" s="171"/>
      <c r="C1" s="171"/>
      <c r="D1" s="171"/>
      <c r="E1" s="171"/>
      <c r="F1" s="171"/>
      <c r="G1" s="171"/>
      <c r="H1" s="171"/>
      <c r="I1" s="171"/>
      <c r="J1" s="171"/>
    </row>
    <row r="2" spans="2:10" s="20" customFormat="1" ht="40" customHeight="1" x14ac:dyDescent="0.45">
      <c r="B2" s="131" t="s">
        <v>199</v>
      </c>
      <c r="C2" s="131"/>
      <c r="D2" s="131"/>
      <c r="E2" s="131"/>
      <c r="F2" s="131"/>
      <c r="G2" s="131"/>
      <c r="H2" s="131"/>
      <c r="I2" s="131"/>
      <c r="J2" s="131"/>
    </row>
    <row r="3" spans="2:10" s="20" customFormat="1" ht="8.15" customHeight="1" x14ac:dyDescent="0.45">
      <c r="B3" s="128"/>
      <c r="C3" s="129"/>
      <c r="D3" s="129"/>
      <c r="E3" s="129"/>
      <c r="F3" s="129"/>
      <c r="G3" s="129"/>
      <c r="H3" s="129"/>
      <c r="I3" s="129"/>
      <c r="J3" s="130"/>
    </row>
    <row r="4" spans="2:10" s="20" customFormat="1" ht="10" customHeight="1" x14ac:dyDescent="0.45">
      <c r="B4" s="186" t="s">
        <v>184</v>
      </c>
      <c r="C4" s="183">
        <f>SUM(I:I)</f>
        <v>133000</v>
      </c>
      <c r="D4" s="189"/>
      <c r="E4" s="190"/>
      <c r="F4" s="190"/>
      <c r="G4" s="190"/>
      <c r="H4" s="190"/>
      <c r="I4" s="190"/>
      <c r="J4" s="191"/>
    </row>
    <row r="5" spans="2:10" s="20" customFormat="1" ht="10" customHeight="1" x14ac:dyDescent="0.45">
      <c r="B5" s="187"/>
      <c r="C5" s="184"/>
      <c r="D5" s="189"/>
      <c r="E5" s="190"/>
      <c r="F5" s="190"/>
      <c r="G5" s="190"/>
      <c r="H5" s="190"/>
      <c r="I5" s="190"/>
      <c r="J5" s="191"/>
    </row>
    <row r="6" spans="2:10" s="20" customFormat="1" ht="10" customHeight="1" x14ac:dyDescent="0.45">
      <c r="B6" s="187"/>
      <c r="C6" s="184"/>
      <c r="D6" s="189"/>
      <c r="E6" s="190"/>
      <c r="F6" s="190"/>
      <c r="G6" s="190"/>
      <c r="H6" s="190"/>
      <c r="I6" s="190"/>
      <c r="J6" s="191"/>
    </row>
    <row r="7" spans="2:10" s="20" customFormat="1" ht="10" customHeight="1" x14ac:dyDescent="0.45">
      <c r="B7" s="187"/>
      <c r="C7" s="184"/>
      <c r="D7" s="189"/>
      <c r="E7" s="190"/>
      <c r="F7" s="190"/>
      <c r="G7" s="190"/>
      <c r="H7" s="190"/>
      <c r="I7" s="190"/>
      <c r="J7" s="191"/>
    </row>
    <row r="8" spans="2:10" s="20" customFormat="1" ht="10" customHeight="1" x14ac:dyDescent="0.45">
      <c r="B8" s="187"/>
      <c r="C8" s="184"/>
      <c r="D8" s="189"/>
      <c r="E8" s="190"/>
      <c r="F8" s="190"/>
      <c r="G8" s="190"/>
      <c r="H8" s="190"/>
      <c r="I8" s="190"/>
      <c r="J8" s="191"/>
    </row>
    <row r="9" spans="2:10" s="20" customFormat="1" ht="10" customHeight="1" x14ac:dyDescent="0.45">
      <c r="B9" s="188"/>
      <c r="C9" s="185"/>
      <c r="D9" s="189"/>
      <c r="E9" s="190"/>
      <c r="F9" s="190"/>
      <c r="G9" s="190"/>
      <c r="H9" s="190"/>
      <c r="I9" s="190"/>
      <c r="J9" s="191"/>
    </row>
    <row r="10" spans="2:10" s="20" customFormat="1" ht="8.15" customHeight="1" x14ac:dyDescent="0.45">
      <c r="B10" s="125"/>
      <c r="C10" s="126"/>
      <c r="D10" s="126"/>
      <c r="E10" s="126"/>
      <c r="F10" s="126"/>
      <c r="G10" s="126"/>
      <c r="H10" s="126"/>
      <c r="I10" s="126"/>
      <c r="J10" s="127"/>
    </row>
    <row r="11" spans="2:10" s="45" customFormat="1" ht="42" customHeight="1" x14ac:dyDescent="0.45">
      <c r="B11" s="120" t="s">
        <v>147</v>
      </c>
      <c r="C11" s="120" t="s">
        <v>216</v>
      </c>
      <c r="D11" s="120" t="s">
        <v>217</v>
      </c>
      <c r="E11" s="120" t="s">
        <v>188</v>
      </c>
      <c r="F11" s="132" t="s">
        <v>189</v>
      </c>
      <c r="G11" s="132" t="s">
        <v>190</v>
      </c>
      <c r="H11" s="172" t="s">
        <v>165</v>
      </c>
      <c r="I11" s="172" t="s">
        <v>164</v>
      </c>
      <c r="J11" s="172" t="s">
        <v>218</v>
      </c>
    </row>
    <row r="12" spans="2:10" ht="23.9" customHeight="1" x14ac:dyDescent="0.45">
      <c r="B12" s="121"/>
      <c r="C12" s="121"/>
      <c r="D12" s="121"/>
      <c r="E12" s="121"/>
      <c r="F12" s="121"/>
      <c r="G12" s="121"/>
      <c r="H12" s="121"/>
      <c r="I12" s="121"/>
      <c r="J12" s="121"/>
    </row>
    <row r="13" spans="2:10" s="34" customFormat="1" hidden="1" x14ac:dyDescent="0.4">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x14ac:dyDescent="0.4">
      <c r="B14" s="19" t="s">
        <v>14</v>
      </c>
      <c r="C14" s="42" t="str">
        <f>IFERROR(IF(VLOOKUP(B14,PartnerN°Ref,2,FALSE)=0,"",VLOOKUP(B14,PartnerN°Ref,2,FALSE)),"")</f>
        <v>Station F</v>
      </c>
      <c r="D14" s="42" t="str">
        <f>IFERROR(IF(OR(VLOOKUP(B14,PartnerN°Ref,4,FALSE)="Country not found",VLOOKUP(B14,PartnerN°Ref,3,FALSE)=0),"",VLOOKUP(B14,PartnerN°Ref,3,FALSE)),"")</f>
        <v>France</v>
      </c>
      <c r="E14" s="18" t="s">
        <v>397</v>
      </c>
      <c r="F14" s="18" t="s">
        <v>394</v>
      </c>
      <c r="G14" s="18" t="s">
        <v>391</v>
      </c>
      <c r="H14" s="35">
        <v>40500</v>
      </c>
      <c r="I14" s="36">
        <f>IF(J14="Error",0,ROUND(H14,2))</f>
        <v>40500</v>
      </c>
      <c r="J14" s="33" t="str">
        <f>IF(OR(COUNTIF(PartnerN°,B14)=0,C14="",COUNTIF(CountryALL,D14)=0,E14="",F14="",G14="",ISNUMBER(H14)=FALSE,IF(ISNUMBER(H14)=TRUE,H14=INT(H14*100)/100=FALSE)),"Error","")</f>
        <v/>
      </c>
    </row>
    <row r="15" spans="2:10" s="243" customFormat="1" ht="36" x14ac:dyDescent="0.4">
      <c r="B15" s="241" t="s">
        <v>13</v>
      </c>
      <c r="C15" s="248" t="str">
        <f>IFERROR(IF(VLOOKUP(B15,PartnerN°Ref,2,FALSE)=0,"",VLOOKUP(B15,PartnerN°Ref,2,FALSE)),"")</f>
        <v>University of Edinburgh</v>
      </c>
      <c r="D15" s="248" t="str">
        <f>IFERROR(IF(OR(VLOOKUP(B15,PartnerN°Ref,4,FALSE)="Country not found",VLOOKUP(B15,PartnerN°Ref,3,FALSE)=0),"",VLOOKUP(B15,PartnerN°Ref,3,FALSE)),"")</f>
        <v>United Kingdom</v>
      </c>
      <c r="E15" s="240" t="s">
        <v>398</v>
      </c>
      <c r="F15" s="240" t="s">
        <v>395</v>
      </c>
      <c r="G15" s="240" t="s">
        <v>392</v>
      </c>
      <c r="H15" s="244">
        <v>42500</v>
      </c>
      <c r="I15" s="245">
        <f>IF(J15="Error",0,ROUND(H15,2))</f>
        <v>42500</v>
      </c>
      <c r="J15" s="242" t="str">
        <f>IF(OR(COUNTIF(PartnerN°,B15)=0,C15="",COUNTIF(CountryALL,D15)=0,E15="",F15="",G15="",ISNUMBER(H15)=FALSE,IF(ISNUMBER(H15)=TRUE,H15=INT(H15*100)/100=FALSE)),"Error","")</f>
        <v/>
      </c>
    </row>
    <row r="16" spans="2:10" s="243" customFormat="1" x14ac:dyDescent="0.4">
      <c r="B16" s="241" t="s">
        <v>19</v>
      </c>
      <c r="C16" s="248" t="str">
        <f>IFERROR(IF(VLOOKUP(B16,PartnerN°Ref,2,FALSE)=0,"",VLOOKUP(B16,PartnerN°Ref,2,FALSE)),"")</f>
        <v>IT University of Copenhagen</v>
      </c>
      <c r="D16" s="248" t="str">
        <f>IFERROR(IF(OR(VLOOKUP(B16,PartnerN°Ref,4,FALSE)="Country not found",VLOOKUP(B16,PartnerN°Ref,3,FALSE)=0),"",VLOOKUP(B16,PartnerN°Ref,3,FALSE)),"")</f>
        <v>Denmark</v>
      </c>
      <c r="E16" s="240" t="s">
        <v>398</v>
      </c>
      <c r="F16" s="240" t="s">
        <v>396</v>
      </c>
      <c r="G16" s="240" t="s">
        <v>393</v>
      </c>
      <c r="H16" s="244">
        <v>50000</v>
      </c>
      <c r="I16" s="245">
        <f>IF(J16="Error",0,ROUND(H16,2))</f>
        <v>50000</v>
      </c>
      <c r="J16" s="242" t="str">
        <f>IF(OR(COUNTIF(PartnerN°,B16)=0,C16="",COUNTIF(CountryALL,D16)=0,E16="",F16="",G16="",ISNUMBER(H16)=FALSE,IF(ISNUMBER(H16)=TRUE,H16=INT(H16*100)/100=FALSE)),"Error","")</f>
        <v/>
      </c>
    </row>
    <row r="18" spans="2:2" x14ac:dyDescent="0.45">
      <c r="B18" s="39" t="s">
        <v>219</v>
      </c>
    </row>
    <row r="19" spans="2:2" x14ac:dyDescent="0.45">
      <c r="B19" s="39" t="s">
        <v>220</v>
      </c>
    </row>
    <row r="20" spans="2:2" x14ac:dyDescent="0.45">
      <c r="B20" s="39" t="s">
        <v>221</v>
      </c>
    </row>
  </sheetData>
  <sheetProtection algorithmName="SHA-512" hashValue="A2FTLm3rQJBZR7Cy8eDvNJxmTWX/oqBBAXbppwB5sF2fyzGCPFmlJcYkRMutXKkkFCBA03gNGJjRL6SieZub+Q==" saltValue="ukkgiT/rbOEwqta4G7Zu0A=="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6">
    <cfRule type="containsText" dxfId="29" priority="150" operator="containsText" text="Error">
      <formula>NOT(ISERROR(SEARCH("Error",J13)))</formula>
    </cfRule>
  </conditionalFormatting>
  <conditionalFormatting sqref="C13:D16">
    <cfRule type="containsBlanks" dxfId="28" priority="143">
      <formula>LEN(TRIM(C13))=0</formula>
    </cfRule>
  </conditionalFormatting>
  <conditionalFormatting sqref="H13">
    <cfRule type="cellIs" dxfId="27" priority="14" operator="lessThanOrEqual">
      <formula>0</formula>
    </cfRule>
  </conditionalFormatting>
  <conditionalFormatting sqref="E13:H13">
    <cfRule type="containsBlanks" dxfId="26" priority="11">
      <formula>LEN(TRIM(E13))=0</formula>
    </cfRule>
  </conditionalFormatting>
  <conditionalFormatting sqref="H14">
    <cfRule type="cellIs" dxfId="25" priority="10" operator="lessThanOrEqual">
      <formula>0</formula>
    </cfRule>
  </conditionalFormatting>
  <conditionalFormatting sqref="E14:H14">
    <cfRule type="containsBlanks" dxfId="24" priority="9">
      <formula>LEN(TRIM(E14))=0</formula>
    </cfRule>
  </conditionalFormatting>
  <conditionalFormatting sqref="B13">
    <cfRule type="containsBlanks" dxfId="23" priority="8">
      <formula>LEN(TRIM(B13))=0</formula>
    </cfRule>
  </conditionalFormatting>
  <conditionalFormatting sqref="B14">
    <cfRule type="containsBlanks" dxfId="22" priority="7">
      <formula>LEN(TRIM(B14))=0</formula>
    </cfRule>
  </conditionalFormatting>
  <conditionalFormatting sqref="H15">
    <cfRule type="cellIs" dxfId="21" priority="6" operator="lessThanOrEqual">
      <formula>0</formula>
    </cfRule>
  </conditionalFormatting>
  <conditionalFormatting sqref="E15:H15">
    <cfRule type="containsBlanks" dxfId="20" priority="5">
      <formula>LEN(TRIM(E15))=0</formula>
    </cfRule>
  </conditionalFormatting>
  <conditionalFormatting sqref="B15">
    <cfRule type="containsBlanks" dxfId="19" priority="4">
      <formula>LEN(TRIM(B15))=0</formula>
    </cfRule>
  </conditionalFormatting>
  <conditionalFormatting sqref="H16">
    <cfRule type="cellIs" dxfId="18" priority="3" operator="lessThanOrEqual">
      <formula>0</formula>
    </cfRule>
  </conditionalFormatting>
  <conditionalFormatting sqref="E16:H16">
    <cfRule type="containsBlanks" dxfId="17" priority="2">
      <formula>LEN(TRIM(E16))=0</formula>
    </cfRule>
  </conditionalFormatting>
  <conditionalFormatting sqref="B16">
    <cfRule type="containsBlanks" dxfId="16" priority="1">
      <formula>LEN(TRIM(B16))=0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87086</xdr:rowOff>
                  </from>
                  <to>
                    <xdr:col>1</xdr:col>
                    <xdr:colOff>1877786</xdr:colOff>
                    <xdr:row>1</xdr:row>
                    <xdr:rowOff>446314</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27214</xdr:colOff>
                    <xdr:row>1</xdr:row>
                    <xdr:rowOff>87086</xdr:rowOff>
                  </from>
                  <to>
                    <xdr:col>2</xdr:col>
                    <xdr:colOff>1817914</xdr:colOff>
                    <xdr:row>1</xdr:row>
                    <xdr:rowOff>446314</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1888671</xdr:colOff>
                    <xdr:row>1</xdr:row>
                    <xdr:rowOff>87086</xdr:rowOff>
                  </from>
                  <to>
                    <xdr:col>3</xdr:col>
                    <xdr:colOff>304800</xdr:colOff>
                    <xdr:row>1</xdr:row>
                    <xdr:rowOff>446314</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5234375" defaultRowHeight="18" x14ac:dyDescent="0.45"/>
  <cols>
    <col min="1" max="1" width="1.69140625" style="1" customWidth="1"/>
    <col min="2" max="2" width="33" style="1" bestFit="1" customWidth="1"/>
    <col min="3" max="9" width="22.69140625" style="1" customWidth="1"/>
    <col min="10" max="10" width="1.3828125" style="1" customWidth="1"/>
    <col min="11" max="16384" width="9.15234375" style="1"/>
  </cols>
  <sheetData>
    <row r="1" spans="2:9" ht="8.15" customHeight="1" x14ac:dyDescent="0.45">
      <c r="B1" s="171"/>
      <c r="C1" s="171"/>
      <c r="D1" s="171"/>
      <c r="E1" s="171"/>
      <c r="F1" s="171"/>
      <c r="G1" s="171"/>
      <c r="H1" s="171"/>
      <c r="I1" s="171"/>
    </row>
    <row r="2" spans="2:9" s="20" customFormat="1" ht="30" customHeight="1" x14ac:dyDescent="0.45">
      <c r="B2" s="131" t="s">
        <v>178</v>
      </c>
      <c r="C2" s="131"/>
      <c r="D2" s="131"/>
      <c r="E2" s="131"/>
      <c r="F2" s="131"/>
      <c r="G2" s="131"/>
      <c r="H2" s="131"/>
      <c r="I2" s="131"/>
    </row>
    <row r="3" spans="2:9" s="20" customFormat="1" ht="8.15" customHeight="1" x14ac:dyDescent="0.45">
      <c r="B3" s="199"/>
      <c r="C3" s="199"/>
      <c r="D3" s="199"/>
      <c r="E3" s="199"/>
      <c r="F3" s="199"/>
      <c r="G3" s="199"/>
      <c r="H3" s="199"/>
      <c r="I3" s="199"/>
    </row>
    <row r="4" spans="2:9" s="45" customFormat="1" ht="42" customHeight="1" x14ac:dyDescent="0.45">
      <c r="B4" s="44" t="s">
        <v>162</v>
      </c>
      <c r="C4" s="12" t="s">
        <v>191</v>
      </c>
      <c r="D4" s="12" t="s">
        <v>192</v>
      </c>
      <c r="E4" s="12" t="s">
        <v>200</v>
      </c>
      <c r="F4" s="12" t="s">
        <v>201</v>
      </c>
      <c r="G4" s="12" t="s">
        <v>202</v>
      </c>
      <c r="H4" s="12" t="s">
        <v>340</v>
      </c>
      <c r="I4" s="12" t="s">
        <v>164</v>
      </c>
    </row>
    <row r="5" spans="2:9" x14ac:dyDescent="0.45">
      <c r="B5" s="76" t="str">
        <f>'Unit Costs &amp; Funding Rule'!P10</f>
        <v>Preparation</v>
      </c>
      <c r="C5" s="21">
        <f>SUMIF('1. Staff costs'!B:B,B5,'1. Staff costs'!S:S)</f>
        <v>23003</v>
      </c>
      <c r="D5" s="21">
        <f>SUMIF(' 2-3-6. Travel&amp;Costs of Stay'!B:B,B5,' 2-3-6. Travel&amp;Costs of Stay'!O:O)</f>
        <v>0</v>
      </c>
      <c r="E5" s="22">
        <f>SUMIF(' 2-3-6. Travel&amp;Costs of Stay'!B:B,B5,' 2-3-6. Travel&amp;Costs of Stay'!P:P)</f>
        <v>0</v>
      </c>
      <c r="F5" s="22">
        <f>SUMIF('4. Equipment Costs'!B:B,B5,'4. Equipment Costs'!H:H)</f>
        <v>150000</v>
      </c>
      <c r="G5" s="22">
        <f>SUMIF('5. Subcontracting Costs'!B:B,B5,'5. Subcontracting Costs'!H:H)</f>
        <v>18000</v>
      </c>
      <c r="H5" s="22">
        <f>SUMIF(' 2-3-6. Travel&amp;Costs of Stay'!B:B,B5,' 2-3-6. Travel&amp;Costs of Stay'!N:N)</f>
        <v>0</v>
      </c>
      <c r="I5" s="23">
        <f t="shared" ref="I5:I10" si="0">SUM(C5:H5)</f>
        <v>191003</v>
      </c>
    </row>
    <row r="6" spans="2:9" ht="16.5" customHeight="1" x14ac:dyDescent="0.45">
      <c r="B6" s="76" t="str">
        <f>'Unit Costs &amp; Funding Rule'!P11</f>
        <v>Development</v>
      </c>
      <c r="C6" s="21">
        <f>SUMIF('1. Staff costs'!B:B,B6,'1. Staff costs'!S:S)</f>
        <v>147711</v>
      </c>
      <c r="D6" s="21">
        <f>SUMIF(' 2-3-6. Travel&amp;Costs of Stay'!B:B,B6,' 2-3-6. Travel&amp;Costs of Stay'!O:O)</f>
        <v>22500</v>
      </c>
      <c r="E6" s="22">
        <f>SUMIF(' 2-3-6. Travel&amp;Costs of Stay'!B:B,B6,' 2-3-6. Travel&amp;Costs of Stay'!P:P)</f>
        <v>200750</v>
      </c>
      <c r="F6" s="22">
        <f>SUMIF('4. Equipment Costs'!B:B,B6,'4. Equipment Costs'!H:H)</f>
        <v>70000</v>
      </c>
      <c r="G6" s="22">
        <f>SUMIF('5. Subcontracting Costs'!B:B,B6,'5. Subcontracting Costs'!H:H)</f>
        <v>0</v>
      </c>
      <c r="H6" s="22">
        <f>SUMIF(' 2-3-6. Travel&amp;Costs of Stay'!B:B,B6,' 2-3-6. Travel&amp;Costs of Stay'!N:N)</f>
        <v>120000</v>
      </c>
      <c r="I6" s="23">
        <f t="shared" si="0"/>
        <v>560961</v>
      </c>
    </row>
    <row r="7" spans="2:9" ht="16.5" customHeight="1" x14ac:dyDescent="0.45">
      <c r="B7" s="76" t="str">
        <f>'Unit Costs &amp; Funding Rule'!P12</f>
        <v>Quality Plan</v>
      </c>
      <c r="C7" s="21">
        <f>SUMIF('1. Staff costs'!B:B,B7,'1. Staff costs'!S:S)</f>
        <v>122236</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122236</v>
      </c>
    </row>
    <row r="8" spans="2:9" ht="16.5" customHeight="1" x14ac:dyDescent="0.4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25000</v>
      </c>
      <c r="H8" s="22">
        <f>SUMIF(' 2-3-6. Travel&amp;Costs of Stay'!B:B,B8,' 2-3-6. Travel&amp;Costs of Stay'!N:N)</f>
        <v>0</v>
      </c>
      <c r="I8" s="23">
        <f t="shared" si="0"/>
        <v>31650</v>
      </c>
    </row>
    <row r="9" spans="2:9" ht="16.5" customHeight="1" x14ac:dyDescent="0.45">
      <c r="B9" s="76" t="str">
        <f>'Unit Costs &amp; Funding Rule'!P14</f>
        <v>Management</v>
      </c>
      <c r="C9" s="21">
        <f>SUMIF('1. Staff costs'!B:B,B9,'1. Staff costs'!S:S)</f>
        <v>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20000</v>
      </c>
      <c r="H9" s="22">
        <f>SUMIF(' 2-3-6. Travel&amp;Costs of Stay'!B:B,B9,' 2-3-6. Travel&amp;Costs of Stay'!N:N)</f>
        <v>0</v>
      </c>
      <c r="I9" s="23">
        <f t="shared" si="0"/>
        <v>20000</v>
      </c>
    </row>
    <row r="10" spans="2:9" x14ac:dyDescent="0.45">
      <c r="B10" s="43" t="s">
        <v>1</v>
      </c>
      <c r="C10" s="23">
        <f t="shared" ref="C10:F10" si="1">SUM(C5:C9)</f>
        <v>299600</v>
      </c>
      <c r="D10" s="23">
        <f t="shared" si="1"/>
        <v>22500</v>
      </c>
      <c r="E10" s="23">
        <f t="shared" si="1"/>
        <v>200750</v>
      </c>
      <c r="F10" s="23">
        <f t="shared" si="1"/>
        <v>220000</v>
      </c>
      <c r="G10" s="23">
        <f>SUM(G5:G9)</f>
        <v>63000</v>
      </c>
      <c r="H10" s="23">
        <f>SUM(H5:H9)</f>
        <v>120000</v>
      </c>
      <c r="I10" s="17">
        <f t="shared" si="0"/>
        <v>925850</v>
      </c>
    </row>
    <row r="11" spans="2:9" ht="20.149999999999999" customHeight="1" x14ac:dyDescent="0.45">
      <c r="B11" s="198"/>
      <c r="C11" s="198"/>
      <c r="D11" s="198"/>
      <c r="E11" s="198"/>
      <c r="F11" s="198"/>
      <c r="G11" s="198"/>
      <c r="H11" s="198"/>
      <c r="I11" s="198"/>
    </row>
    <row r="12" spans="2:9" ht="30" customHeight="1" x14ac:dyDescent="0.45">
      <c r="B12" s="131" t="s">
        <v>203</v>
      </c>
      <c r="C12" s="131"/>
      <c r="D12" s="131"/>
      <c r="E12" s="131"/>
      <c r="F12" s="131"/>
      <c r="G12" s="131"/>
      <c r="H12" s="131"/>
      <c r="I12" s="131"/>
    </row>
    <row r="13" spans="2:9" ht="8.15" customHeight="1" x14ac:dyDescent="0.45">
      <c r="B13" s="196"/>
      <c r="C13" s="196"/>
      <c r="D13" s="196"/>
      <c r="E13" s="196"/>
      <c r="F13" s="196"/>
      <c r="G13" s="196"/>
      <c r="H13" s="196"/>
      <c r="I13" s="196"/>
    </row>
    <row r="14" spans="2:9" ht="36" x14ac:dyDescent="0.45">
      <c r="B14" s="44" t="s">
        <v>177</v>
      </c>
      <c r="C14" s="12" t="s">
        <v>191</v>
      </c>
      <c r="D14" s="12" t="s">
        <v>192</v>
      </c>
      <c r="E14" s="12" t="s">
        <v>200</v>
      </c>
      <c r="F14" s="12" t="s">
        <v>201</v>
      </c>
      <c r="G14" s="12" t="s">
        <v>202</v>
      </c>
      <c r="H14" s="12" t="s">
        <v>340</v>
      </c>
      <c r="I14" s="12" t="s">
        <v>164</v>
      </c>
    </row>
    <row r="15" spans="2:9" x14ac:dyDescent="0.45">
      <c r="B15" s="76" t="s">
        <v>196</v>
      </c>
      <c r="C15" s="21">
        <f>SUMIF(Overview!$E$27:$E$81,B15,Overview!$F$27:$F$81)</f>
        <v>298265</v>
      </c>
      <c r="D15" s="21">
        <f>SUMIF(Overview!$E$27:$E$81,B15,Overview!$G$27:$G$81)</f>
        <v>22500</v>
      </c>
      <c r="E15" s="21">
        <f>SUMIF(Overview!$E$27:$E$81,B15,Overview!$H$27:$H$81)</f>
        <v>200750</v>
      </c>
      <c r="F15" s="21">
        <f>SUMIF(Overview!$E$27:$E$81,B15,Overview!$I$27:$I$81)</f>
        <v>0</v>
      </c>
      <c r="G15" s="21">
        <f>SUMIF(Overview!$E$27:$E$81,B15,Overview!$J$27:$J$81)</f>
        <v>50000</v>
      </c>
      <c r="H15" s="21">
        <f>SUMIF(Overview!$E$27:$E$81,B15,Overview!$K$27:$K$81)</f>
        <v>120000</v>
      </c>
      <c r="I15" s="23">
        <f>SUM(C15:H15)</f>
        <v>691515</v>
      </c>
    </row>
    <row r="16" spans="2:9" x14ac:dyDescent="0.45">
      <c r="B16" s="76" t="s">
        <v>197</v>
      </c>
      <c r="C16" s="21">
        <f>SUMIF(Overview!$E$27:$E$81,B16,Overview!$F$27:$F$81)</f>
        <v>1335</v>
      </c>
      <c r="D16" s="21">
        <f>SUMIF(Overview!$E$27:$E$81,B16,Overview!$G$27:$G$81)</f>
        <v>0</v>
      </c>
      <c r="E16" s="21">
        <f>SUMIF(Overview!$E$27:$E$81,B16,Overview!$H$27:$H$81)</f>
        <v>0</v>
      </c>
      <c r="F16" s="21">
        <f>SUMIF(Overview!$E$27:$E$81,B16,Overview!$I$27:$I$81)</f>
        <v>220000</v>
      </c>
      <c r="G16" s="21">
        <f>SUMIF(Overview!$E$27:$E$81,B16,Overview!$J$27:$J$81)</f>
        <v>13000</v>
      </c>
      <c r="H16" s="21">
        <f>SUMIF(Overview!$E$27:$E$81,B16,Overview!$K$27:$K$81)</f>
        <v>0</v>
      </c>
      <c r="I16" s="23">
        <f>SUM(C16:H16)</f>
        <v>234335</v>
      </c>
    </row>
    <row r="17" spans="2:9" x14ac:dyDescent="0.45">
      <c r="B17" s="43" t="s">
        <v>1</v>
      </c>
      <c r="C17" s="23">
        <f t="shared" ref="C17:F17" si="2">SUM(C15:C16)</f>
        <v>299600</v>
      </c>
      <c r="D17" s="23">
        <f t="shared" si="2"/>
        <v>22500</v>
      </c>
      <c r="E17" s="23">
        <f t="shared" si="2"/>
        <v>200750</v>
      </c>
      <c r="F17" s="23">
        <f t="shared" si="2"/>
        <v>220000</v>
      </c>
      <c r="G17" s="23">
        <f>SUM(G15:G16)</f>
        <v>63000</v>
      </c>
      <c r="H17" s="23">
        <f>SUM(H15:H16)</f>
        <v>120000</v>
      </c>
      <c r="I17" s="17">
        <f>SUM(C17:H17)</f>
        <v>925850</v>
      </c>
    </row>
    <row r="18" spans="2:9" ht="20.149999999999999" customHeight="1" x14ac:dyDescent="0.45">
      <c r="B18" s="197"/>
      <c r="C18" s="197"/>
      <c r="D18" s="197"/>
      <c r="E18" s="197"/>
      <c r="F18" s="197"/>
      <c r="G18" s="197"/>
      <c r="H18" s="197"/>
      <c r="I18" s="197"/>
    </row>
    <row r="19" spans="2:9" ht="30" customHeight="1" x14ac:dyDescent="0.45">
      <c r="B19" s="131" t="s">
        <v>205</v>
      </c>
      <c r="C19" s="131"/>
      <c r="D19" s="131"/>
      <c r="E19" s="131"/>
      <c r="F19" s="131"/>
      <c r="G19" s="131"/>
      <c r="H19" s="131"/>
      <c r="I19" s="131"/>
    </row>
    <row r="20" spans="2:9" ht="8.15" customHeight="1" x14ac:dyDescent="0.45">
      <c r="B20" s="196"/>
      <c r="C20" s="196"/>
      <c r="D20" s="196"/>
      <c r="E20" s="196"/>
      <c r="F20" s="196"/>
      <c r="G20" s="196"/>
      <c r="H20" s="196"/>
      <c r="I20" s="196"/>
    </row>
    <row r="21" spans="2:9" ht="54" customHeight="1" x14ac:dyDescent="0.4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4" t="s">
        <v>164</v>
      </c>
      <c r="I21" s="195"/>
    </row>
    <row r="22" spans="2:9" x14ac:dyDescent="0.4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22033</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14597</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1100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192">
        <f t="shared" ref="H22:H34" si="3">SUM(C22:G22)</f>
        <v>37730</v>
      </c>
      <c r="I22" s="193"/>
    </row>
    <row r="23" spans="2:9" x14ac:dyDescent="0.4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117</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34717</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192">
        <f t="shared" si="3"/>
        <v>34834</v>
      </c>
      <c r="I23" s="193"/>
    </row>
    <row r="24" spans="2:9" x14ac:dyDescent="0.4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117</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1036</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2">
        <f t="shared" si="3"/>
        <v>1153</v>
      </c>
      <c r="I24" s="193"/>
    </row>
    <row r="25" spans="2:9" x14ac:dyDescent="0.4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1228</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45645</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7920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12000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2">
        <f t="shared" si="3"/>
        <v>66793</v>
      </c>
      <c r="I25" s="193"/>
    </row>
    <row r="26" spans="2:9" x14ac:dyDescent="0.4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117</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34813</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5550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192">
        <f t="shared" si="3"/>
        <v>40480</v>
      </c>
      <c r="I26" s="193"/>
    </row>
    <row r="27" spans="2:9" x14ac:dyDescent="0.4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393</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3210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192">
        <f t="shared" si="3"/>
        <v>3603</v>
      </c>
      <c r="I27" s="193"/>
    </row>
    <row r="28" spans="2:9" x14ac:dyDescent="0.4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3912</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64660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25200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20000</v>
      </c>
      <c r="H28" s="192">
        <f t="shared" si="3"/>
        <v>113772</v>
      </c>
      <c r="I28" s="193"/>
    </row>
    <row r="29" spans="2:9" x14ac:dyDescent="0.4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117</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31062</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192">
        <f t="shared" si="3"/>
        <v>31179</v>
      </c>
      <c r="I29" s="193"/>
    </row>
    <row r="30" spans="2:9" x14ac:dyDescent="0.4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150135</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71200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13000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192">
        <f t="shared" si="3"/>
        <v>234335</v>
      </c>
      <c r="I30" s="193"/>
    </row>
    <row r="31" spans="2:9" x14ac:dyDescent="0.4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3912</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62520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25200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2">
        <f t="shared" si="3"/>
        <v>91632</v>
      </c>
      <c r="I31" s="193"/>
    </row>
    <row r="32" spans="2:9" x14ac:dyDescent="0.4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117</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34471</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2">
        <f t="shared" si="3"/>
        <v>34588</v>
      </c>
      <c r="I32" s="193"/>
    </row>
    <row r="33" spans="2:9" x14ac:dyDescent="0.4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471</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5215</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192">
        <f t="shared" si="3"/>
        <v>5686</v>
      </c>
      <c r="I33" s="193"/>
    </row>
    <row r="34" spans="2:9" x14ac:dyDescent="0.4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3912</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59952</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38716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192">
        <f t="shared" si="3"/>
        <v>102580</v>
      </c>
      <c r="I34" s="193"/>
    </row>
    <row r="35" spans="2:9" x14ac:dyDescent="0.4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117</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34526</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2">
        <f t="shared" ref="H35:H76" si="4">SUM(C35:G35)</f>
        <v>34643</v>
      </c>
      <c r="I35" s="193"/>
    </row>
    <row r="36" spans="2:9" x14ac:dyDescent="0.4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393</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4837</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2">
        <f t="shared" si="4"/>
        <v>5230</v>
      </c>
      <c r="I36" s="193"/>
    </row>
    <row r="37" spans="2:9" x14ac:dyDescent="0.4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3912</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58500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25200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2">
        <f t="shared" si="4"/>
        <v>87612</v>
      </c>
      <c r="I37" s="193"/>
    </row>
    <row r="38" spans="2:9" x14ac:dyDescent="0.4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2">
        <f t="shared" si="4"/>
        <v>0</v>
      </c>
      <c r="I38" s="193"/>
    </row>
    <row r="39" spans="2:9" x14ac:dyDescent="0.4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2">
        <f t="shared" si="4"/>
        <v>0</v>
      </c>
      <c r="I39" s="193"/>
    </row>
    <row r="40" spans="2:9" x14ac:dyDescent="0.4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2">
        <f t="shared" si="4"/>
        <v>0</v>
      </c>
      <c r="I40" s="193"/>
    </row>
    <row r="41" spans="2:9" x14ac:dyDescent="0.4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2">
        <f t="shared" si="4"/>
        <v>0</v>
      </c>
      <c r="I41" s="193"/>
    </row>
    <row r="42" spans="2:9" x14ac:dyDescent="0.4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2">
        <f t="shared" si="4"/>
        <v>0</v>
      </c>
      <c r="I42" s="193"/>
    </row>
    <row r="43" spans="2:9" x14ac:dyDescent="0.4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2">
        <f t="shared" si="4"/>
        <v>0</v>
      </c>
      <c r="I43" s="193"/>
    </row>
    <row r="44" spans="2:9" x14ac:dyDescent="0.4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2">
        <f t="shared" si="4"/>
        <v>0</v>
      </c>
      <c r="I44" s="193"/>
    </row>
    <row r="45" spans="2:9" x14ac:dyDescent="0.4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2">
        <f t="shared" si="4"/>
        <v>0</v>
      </c>
      <c r="I45" s="193"/>
    </row>
    <row r="46" spans="2:9" x14ac:dyDescent="0.4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2">
        <f t="shared" si="4"/>
        <v>0</v>
      </c>
      <c r="I46" s="193"/>
    </row>
    <row r="47" spans="2:9" x14ac:dyDescent="0.4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2">
        <f t="shared" si="4"/>
        <v>0</v>
      </c>
      <c r="I47" s="193"/>
    </row>
    <row r="48" spans="2:9" x14ac:dyDescent="0.4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2">
        <f t="shared" si="4"/>
        <v>0</v>
      </c>
      <c r="I48" s="193"/>
    </row>
    <row r="49" spans="2:9" x14ac:dyDescent="0.4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2">
        <f t="shared" si="4"/>
        <v>0</v>
      </c>
      <c r="I49" s="193"/>
    </row>
    <row r="50" spans="2:9" x14ac:dyDescent="0.4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2">
        <f t="shared" si="4"/>
        <v>0</v>
      </c>
      <c r="I50" s="193"/>
    </row>
    <row r="51" spans="2:9" x14ac:dyDescent="0.4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2">
        <f t="shared" si="4"/>
        <v>0</v>
      </c>
      <c r="I51" s="193"/>
    </row>
    <row r="52" spans="2:9" x14ac:dyDescent="0.4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2">
        <f t="shared" si="4"/>
        <v>0</v>
      </c>
      <c r="I52" s="193"/>
    </row>
    <row r="53" spans="2:9" x14ac:dyDescent="0.4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2">
        <f t="shared" si="4"/>
        <v>0</v>
      </c>
      <c r="I53" s="193"/>
    </row>
    <row r="54" spans="2:9" x14ac:dyDescent="0.4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2">
        <f t="shared" si="4"/>
        <v>0</v>
      </c>
      <c r="I54" s="193"/>
    </row>
    <row r="55" spans="2:9" x14ac:dyDescent="0.4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2">
        <f t="shared" si="4"/>
        <v>0</v>
      </c>
      <c r="I55" s="193"/>
    </row>
    <row r="56" spans="2:9" x14ac:dyDescent="0.4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2">
        <f t="shared" si="4"/>
        <v>0</v>
      </c>
      <c r="I56" s="193"/>
    </row>
    <row r="57" spans="2:9" x14ac:dyDescent="0.4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2">
        <f t="shared" si="4"/>
        <v>0</v>
      </c>
      <c r="I57" s="193"/>
    </row>
    <row r="58" spans="2:9" x14ac:dyDescent="0.4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2">
        <f t="shared" si="4"/>
        <v>0</v>
      </c>
      <c r="I58" s="193"/>
    </row>
    <row r="59" spans="2:9" x14ac:dyDescent="0.4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2">
        <f t="shared" si="4"/>
        <v>0</v>
      </c>
      <c r="I59" s="193"/>
    </row>
    <row r="60" spans="2:9" x14ac:dyDescent="0.4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2">
        <f t="shared" si="4"/>
        <v>0</v>
      </c>
      <c r="I60" s="193"/>
    </row>
    <row r="61" spans="2:9" x14ac:dyDescent="0.4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2">
        <f t="shared" si="4"/>
        <v>0</v>
      </c>
      <c r="I61" s="193"/>
    </row>
    <row r="62" spans="2:9" x14ac:dyDescent="0.4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2">
        <f t="shared" si="4"/>
        <v>0</v>
      </c>
      <c r="I62" s="193"/>
    </row>
    <row r="63" spans="2:9" x14ac:dyDescent="0.4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2">
        <f t="shared" si="4"/>
        <v>0</v>
      </c>
      <c r="I63" s="193"/>
    </row>
    <row r="64" spans="2:9" x14ac:dyDescent="0.4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2">
        <f t="shared" si="4"/>
        <v>0</v>
      </c>
      <c r="I64" s="193"/>
    </row>
    <row r="65" spans="2:9" x14ac:dyDescent="0.4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2">
        <f t="shared" si="4"/>
        <v>0</v>
      </c>
      <c r="I65" s="193"/>
    </row>
    <row r="66" spans="2:9" x14ac:dyDescent="0.4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2">
        <f t="shared" si="4"/>
        <v>0</v>
      </c>
      <c r="I66" s="193"/>
    </row>
    <row r="67" spans="2:9" x14ac:dyDescent="0.4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2">
        <f t="shared" si="4"/>
        <v>0</v>
      </c>
      <c r="I67" s="193"/>
    </row>
    <row r="68" spans="2:9" x14ac:dyDescent="0.4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2">
        <f t="shared" si="4"/>
        <v>0</v>
      </c>
      <c r="I68" s="193"/>
    </row>
    <row r="69" spans="2:9" x14ac:dyDescent="0.4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2">
        <f t="shared" si="4"/>
        <v>0</v>
      </c>
      <c r="I69" s="193"/>
    </row>
    <row r="70" spans="2:9" x14ac:dyDescent="0.4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2">
        <f t="shared" si="4"/>
        <v>0</v>
      </c>
      <c r="I70" s="193"/>
    </row>
    <row r="71" spans="2:9" x14ac:dyDescent="0.4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2">
        <f t="shared" si="4"/>
        <v>0</v>
      </c>
      <c r="I71" s="193"/>
    </row>
    <row r="72" spans="2:9" x14ac:dyDescent="0.4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2">
        <f t="shared" si="4"/>
        <v>0</v>
      </c>
      <c r="I72" s="193"/>
    </row>
    <row r="73" spans="2:9" x14ac:dyDescent="0.4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2">
        <f t="shared" si="4"/>
        <v>0</v>
      </c>
      <c r="I73" s="193"/>
    </row>
    <row r="74" spans="2:9" x14ac:dyDescent="0.4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2">
        <f t="shared" si="4"/>
        <v>0</v>
      </c>
      <c r="I74" s="193"/>
    </row>
    <row r="75" spans="2:9" x14ac:dyDescent="0.4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2">
        <f t="shared" si="4"/>
        <v>0</v>
      </c>
      <c r="I75" s="193"/>
    </row>
    <row r="76" spans="2:9" x14ac:dyDescent="0.4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2">
        <f t="shared" si="4"/>
        <v>0</v>
      </c>
      <c r="I76" s="193"/>
    </row>
    <row r="77" spans="2:9" x14ac:dyDescent="0.45">
      <c r="B77" s="48" t="s">
        <v>1</v>
      </c>
      <c r="C77" s="23">
        <f>SUM(C22:C76)</f>
        <v>191003</v>
      </c>
      <c r="D77" s="23">
        <f t="shared" ref="D77:G77" si="5">SUM(D22:D76)</f>
        <v>560961</v>
      </c>
      <c r="E77" s="23">
        <f t="shared" si="5"/>
        <v>122236</v>
      </c>
      <c r="F77" s="23">
        <f t="shared" si="5"/>
        <v>31650</v>
      </c>
      <c r="G77" s="23">
        <f t="shared" si="5"/>
        <v>20000</v>
      </c>
      <c r="H77" s="192">
        <f>SUM(C77:G77)</f>
        <v>925850</v>
      </c>
      <c r="I77" s="193"/>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4.15" x14ac:dyDescent="0.35"/>
  <cols>
    <col min="1" max="1" width="1.69140625" style="56" customWidth="1"/>
    <col min="2" max="2" width="40" style="56" customWidth="1"/>
    <col min="3" max="3" width="24" style="56" customWidth="1"/>
    <col min="4" max="7" width="15.84375" style="56" customWidth="1"/>
    <col min="8" max="8" width="1.69140625" style="56" customWidth="1"/>
    <col min="9" max="10" width="26" style="56" customWidth="1"/>
    <col min="11" max="11" width="1.69140625" style="56" customWidth="1"/>
    <col min="12" max="12" width="18.69140625" style="75" customWidth="1"/>
    <col min="13" max="14" width="18.69140625" style="56" customWidth="1"/>
    <col min="15" max="15" width="1.69140625" style="56" customWidth="1"/>
    <col min="16" max="16" width="28.15234375" style="56" bestFit="1" customWidth="1"/>
    <col min="17" max="17" width="20.69140625" style="56" customWidth="1"/>
    <col min="18" max="18" width="1.69140625" style="56" customWidth="1"/>
    <col min="19" max="20" width="25.3828125" style="56" customWidth="1"/>
    <col min="21" max="21" width="20.69140625" style="56" customWidth="1"/>
    <col min="22" max="247" width="9.15234375" style="56"/>
    <col min="248" max="248" width="40" style="56" customWidth="1"/>
    <col min="249" max="249" width="11.53515625" style="56" customWidth="1"/>
    <col min="250" max="250" width="24" style="56" customWidth="1"/>
    <col min="251" max="254" width="15.84375" style="56" customWidth="1"/>
    <col min="255" max="255" width="1.69140625" style="56" customWidth="1"/>
    <col min="256" max="257" width="26" style="56" customWidth="1"/>
    <col min="258" max="258" width="1.69140625" style="56" customWidth="1"/>
    <col min="259" max="261" width="18.69140625" style="56" customWidth="1"/>
    <col min="262" max="262" width="1.69140625" style="56" customWidth="1"/>
    <col min="263" max="263" width="25.3828125" style="56" customWidth="1"/>
    <col min="264" max="264" width="20.69140625" style="56" customWidth="1"/>
    <col min="265" max="265" width="1.69140625" style="56" customWidth="1"/>
    <col min="266" max="267" width="25.3828125" style="56" customWidth="1"/>
    <col min="268" max="268" width="20.69140625" style="56" customWidth="1"/>
    <col min="269" max="269" width="1.69140625" style="56" customWidth="1"/>
    <col min="270" max="270" width="41.53515625" style="56" customWidth="1"/>
    <col min="271" max="271" width="11.53515625" style="56" customWidth="1"/>
    <col min="272" max="272" width="23" style="56" customWidth="1"/>
    <col min="273" max="276" width="18.69140625" style="56" customWidth="1"/>
    <col min="277" max="277" width="1.69140625" style="56" customWidth="1"/>
    <col min="278" max="503" width="9.15234375" style="56"/>
    <col min="504" max="504" width="40" style="56" customWidth="1"/>
    <col min="505" max="505" width="11.53515625" style="56" customWidth="1"/>
    <col min="506" max="506" width="24" style="56" customWidth="1"/>
    <col min="507" max="510" width="15.84375" style="56" customWidth="1"/>
    <col min="511" max="511" width="1.69140625" style="56" customWidth="1"/>
    <col min="512" max="513" width="26" style="56" customWidth="1"/>
    <col min="514" max="514" width="1.69140625" style="56" customWidth="1"/>
    <col min="515" max="517" width="18.69140625" style="56" customWidth="1"/>
    <col min="518" max="518" width="1.69140625" style="56" customWidth="1"/>
    <col min="519" max="519" width="25.3828125" style="56" customWidth="1"/>
    <col min="520" max="520" width="20.69140625" style="56" customWidth="1"/>
    <col min="521" max="521" width="1.69140625" style="56" customWidth="1"/>
    <col min="522" max="523" width="25.3828125" style="56" customWidth="1"/>
    <col min="524" max="524" width="20.69140625" style="56" customWidth="1"/>
    <col min="525" max="525" width="1.69140625" style="56" customWidth="1"/>
    <col min="526" max="526" width="41.53515625" style="56" customWidth="1"/>
    <col min="527" max="527" width="11.53515625" style="56" customWidth="1"/>
    <col min="528" max="528" width="23" style="56" customWidth="1"/>
    <col min="529" max="532" width="18.69140625" style="56" customWidth="1"/>
    <col min="533" max="533" width="1.69140625" style="56" customWidth="1"/>
    <col min="534" max="759" width="9.15234375" style="56"/>
    <col min="760" max="760" width="40" style="56" customWidth="1"/>
    <col min="761" max="761" width="11.53515625" style="56" customWidth="1"/>
    <col min="762" max="762" width="24" style="56" customWidth="1"/>
    <col min="763" max="766" width="15.84375" style="56" customWidth="1"/>
    <col min="767" max="767" width="1.69140625" style="56" customWidth="1"/>
    <col min="768" max="769" width="26" style="56" customWidth="1"/>
    <col min="770" max="770" width="1.69140625" style="56" customWidth="1"/>
    <col min="771" max="773" width="18.69140625" style="56" customWidth="1"/>
    <col min="774" max="774" width="1.69140625" style="56" customWidth="1"/>
    <col min="775" max="775" width="25.3828125" style="56" customWidth="1"/>
    <col min="776" max="776" width="20.69140625" style="56" customWidth="1"/>
    <col min="777" max="777" width="1.69140625" style="56" customWidth="1"/>
    <col min="778" max="779" width="25.3828125" style="56" customWidth="1"/>
    <col min="780" max="780" width="20.69140625" style="56" customWidth="1"/>
    <col min="781" max="781" width="1.69140625" style="56" customWidth="1"/>
    <col min="782" max="782" width="41.53515625" style="56" customWidth="1"/>
    <col min="783" max="783" width="11.53515625" style="56" customWidth="1"/>
    <col min="784" max="784" width="23" style="56" customWidth="1"/>
    <col min="785" max="788" width="18.69140625" style="56" customWidth="1"/>
    <col min="789" max="789" width="1.69140625" style="56" customWidth="1"/>
    <col min="790" max="1015" width="9.15234375" style="56"/>
    <col min="1016" max="1016" width="40" style="56" customWidth="1"/>
    <col min="1017" max="1017" width="11.53515625" style="56" customWidth="1"/>
    <col min="1018" max="1018" width="24" style="56" customWidth="1"/>
    <col min="1019" max="1022" width="15.84375" style="56" customWidth="1"/>
    <col min="1023" max="1023" width="1.69140625" style="56" customWidth="1"/>
    <col min="1024" max="1025" width="26" style="56" customWidth="1"/>
    <col min="1026" max="1026" width="1.69140625" style="56" customWidth="1"/>
    <col min="1027" max="1029" width="18.69140625" style="56" customWidth="1"/>
    <col min="1030" max="1030" width="1.69140625" style="56" customWidth="1"/>
    <col min="1031" max="1031" width="25.3828125" style="56" customWidth="1"/>
    <col min="1032" max="1032" width="20.69140625" style="56" customWidth="1"/>
    <col min="1033" max="1033" width="1.69140625" style="56" customWidth="1"/>
    <col min="1034" max="1035" width="25.3828125" style="56" customWidth="1"/>
    <col min="1036" max="1036" width="20.69140625" style="56" customWidth="1"/>
    <col min="1037" max="1037" width="1.69140625" style="56" customWidth="1"/>
    <col min="1038" max="1038" width="41.53515625" style="56" customWidth="1"/>
    <col min="1039" max="1039" width="11.53515625" style="56" customWidth="1"/>
    <col min="1040" max="1040" width="23" style="56" customWidth="1"/>
    <col min="1041" max="1044" width="18.69140625" style="56" customWidth="1"/>
    <col min="1045" max="1045" width="1.69140625" style="56" customWidth="1"/>
    <col min="1046" max="1271" width="9.15234375" style="56"/>
    <col min="1272" max="1272" width="40" style="56" customWidth="1"/>
    <col min="1273" max="1273" width="11.53515625" style="56" customWidth="1"/>
    <col min="1274" max="1274" width="24" style="56" customWidth="1"/>
    <col min="1275" max="1278" width="15.84375" style="56" customWidth="1"/>
    <col min="1279" max="1279" width="1.69140625" style="56" customWidth="1"/>
    <col min="1280" max="1281" width="26" style="56" customWidth="1"/>
    <col min="1282" max="1282" width="1.69140625" style="56" customWidth="1"/>
    <col min="1283" max="1285" width="18.69140625" style="56" customWidth="1"/>
    <col min="1286" max="1286" width="1.69140625" style="56" customWidth="1"/>
    <col min="1287" max="1287" width="25.3828125" style="56" customWidth="1"/>
    <col min="1288" max="1288" width="20.69140625" style="56" customWidth="1"/>
    <col min="1289" max="1289" width="1.69140625" style="56" customWidth="1"/>
    <col min="1290" max="1291" width="25.3828125" style="56" customWidth="1"/>
    <col min="1292" max="1292" width="20.69140625" style="56" customWidth="1"/>
    <col min="1293" max="1293" width="1.69140625" style="56" customWidth="1"/>
    <col min="1294" max="1294" width="41.53515625" style="56" customWidth="1"/>
    <col min="1295" max="1295" width="11.53515625" style="56" customWidth="1"/>
    <col min="1296" max="1296" width="23" style="56" customWidth="1"/>
    <col min="1297" max="1300" width="18.69140625" style="56" customWidth="1"/>
    <col min="1301" max="1301" width="1.69140625" style="56" customWidth="1"/>
    <col min="1302" max="1527" width="9.15234375" style="56"/>
    <col min="1528" max="1528" width="40" style="56" customWidth="1"/>
    <col min="1529" max="1529" width="11.53515625" style="56" customWidth="1"/>
    <col min="1530" max="1530" width="24" style="56" customWidth="1"/>
    <col min="1531" max="1534" width="15.84375" style="56" customWidth="1"/>
    <col min="1535" max="1535" width="1.69140625" style="56" customWidth="1"/>
    <col min="1536" max="1537" width="26" style="56" customWidth="1"/>
    <col min="1538" max="1538" width="1.69140625" style="56" customWidth="1"/>
    <col min="1539" max="1541" width="18.69140625" style="56" customWidth="1"/>
    <col min="1542" max="1542" width="1.69140625" style="56" customWidth="1"/>
    <col min="1543" max="1543" width="25.3828125" style="56" customWidth="1"/>
    <col min="1544" max="1544" width="20.69140625" style="56" customWidth="1"/>
    <col min="1545" max="1545" width="1.69140625" style="56" customWidth="1"/>
    <col min="1546" max="1547" width="25.3828125" style="56" customWidth="1"/>
    <col min="1548" max="1548" width="20.69140625" style="56" customWidth="1"/>
    <col min="1549" max="1549" width="1.69140625" style="56" customWidth="1"/>
    <col min="1550" max="1550" width="41.53515625" style="56" customWidth="1"/>
    <col min="1551" max="1551" width="11.53515625" style="56" customWidth="1"/>
    <col min="1552" max="1552" width="23" style="56" customWidth="1"/>
    <col min="1553" max="1556" width="18.69140625" style="56" customWidth="1"/>
    <col min="1557" max="1557" width="1.69140625" style="56" customWidth="1"/>
    <col min="1558" max="1783" width="9.15234375" style="56"/>
    <col min="1784" max="1784" width="40" style="56" customWidth="1"/>
    <col min="1785" max="1785" width="11.53515625" style="56" customWidth="1"/>
    <col min="1786" max="1786" width="24" style="56" customWidth="1"/>
    <col min="1787" max="1790" width="15.84375" style="56" customWidth="1"/>
    <col min="1791" max="1791" width="1.69140625" style="56" customWidth="1"/>
    <col min="1792" max="1793" width="26" style="56" customWidth="1"/>
    <col min="1794" max="1794" width="1.69140625" style="56" customWidth="1"/>
    <col min="1795" max="1797" width="18.69140625" style="56" customWidth="1"/>
    <col min="1798" max="1798" width="1.69140625" style="56" customWidth="1"/>
    <col min="1799" max="1799" width="25.3828125" style="56" customWidth="1"/>
    <col min="1800" max="1800" width="20.69140625" style="56" customWidth="1"/>
    <col min="1801" max="1801" width="1.69140625" style="56" customWidth="1"/>
    <col min="1802" max="1803" width="25.3828125" style="56" customWidth="1"/>
    <col min="1804" max="1804" width="20.69140625" style="56" customWidth="1"/>
    <col min="1805" max="1805" width="1.69140625" style="56" customWidth="1"/>
    <col min="1806" max="1806" width="41.53515625" style="56" customWidth="1"/>
    <col min="1807" max="1807" width="11.53515625" style="56" customWidth="1"/>
    <col min="1808" max="1808" width="23" style="56" customWidth="1"/>
    <col min="1809" max="1812" width="18.69140625" style="56" customWidth="1"/>
    <col min="1813" max="1813" width="1.69140625" style="56" customWidth="1"/>
    <col min="1814" max="2039" width="9.15234375" style="56"/>
    <col min="2040" max="2040" width="40" style="56" customWidth="1"/>
    <col min="2041" max="2041" width="11.53515625" style="56" customWidth="1"/>
    <col min="2042" max="2042" width="24" style="56" customWidth="1"/>
    <col min="2043" max="2046" width="15.84375" style="56" customWidth="1"/>
    <col min="2047" max="2047" width="1.69140625" style="56" customWidth="1"/>
    <col min="2048" max="2049" width="26" style="56" customWidth="1"/>
    <col min="2050" max="2050" width="1.69140625" style="56" customWidth="1"/>
    <col min="2051" max="2053" width="18.69140625" style="56" customWidth="1"/>
    <col min="2054" max="2054" width="1.69140625" style="56" customWidth="1"/>
    <col min="2055" max="2055" width="25.3828125" style="56" customWidth="1"/>
    <col min="2056" max="2056" width="20.69140625" style="56" customWidth="1"/>
    <col min="2057" max="2057" width="1.69140625" style="56" customWidth="1"/>
    <col min="2058" max="2059" width="25.3828125" style="56" customWidth="1"/>
    <col min="2060" max="2060" width="20.69140625" style="56" customWidth="1"/>
    <col min="2061" max="2061" width="1.69140625" style="56" customWidth="1"/>
    <col min="2062" max="2062" width="41.53515625" style="56" customWidth="1"/>
    <col min="2063" max="2063" width="11.53515625" style="56" customWidth="1"/>
    <col min="2064" max="2064" width="23" style="56" customWidth="1"/>
    <col min="2065" max="2068" width="18.69140625" style="56" customWidth="1"/>
    <col min="2069" max="2069" width="1.69140625" style="56" customWidth="1"/>
    <col min="2070" max="2295" width="9.15234375" style="56"/>
    <col min="2296" max="2296" width="40" style="56" customWidth="1"/>
    <col min="2297" max="2297" width="11.53515625" style="56" customWidth="1"/>
    <col min="2298" max="2298" width="24" style="56" customWidth="1"/>
    <col min="2299" max="2302" width="15.84375" style="56" customWidth="1"/>
    <col min="2303" max="2303" width="1.69140625" style="56" customWidth="1"/>
    <col min="2304" max="2305" width="26" style="56" customWidth="1"/>
    <col min="2306" max="2306" width="1.69140625" style="56" customWidth="1"/>
    <col min="2307" max="2309" width="18.69140625" style="56" customWidth="1"/>
    <col min="2310" max="2310" width="1.69140625" style="56" customWidth="1"/>
    <col min="2311" max="2311" width="25.3828125" style="56" customWidth="1"/>
    <col min="2312" max="2312" width="20.69140625" style="56" customWidth="1"/>
    <col min="2313" max="2313" width="1.69140625" style="56" customWidth="1"/>
    <col min="2314" max="2315" width="25.3828125" style="56" customWidth="1"/>
    <col min="2316" max="2316" width="20.69140625" style="56" customWidth="1"/>
    <col min="2317" max="2317" width="1.69140625" style="56" customWidth="1"/>
    <col min="2318" max="2318" width="41.53515625" style="56" customWidth="1"/>
    <col min="2319" max="2319" width="11.53515625" style="56" customWidth="1"/>
    <col min="2320" max="2320" width="23" style="56" customWidth="1"/>
    <col min="2321" max="2324" width="18.69140625" style="56" customWidth="1"/>
    <col min="2325" max="2325" width="1.69140625" style="56" customWidth="1"/>
    <col min="2326" max="2551" width="9.15234375" style="56"/>
    <col min="2552" max="2552" width="40" style="56" customWidth="1"/>
    <col min="2553" max="2553" width="11.53515625" style="56" customWidth="1"/>
    <col min="2554" max="2554" width="24" style="56" customWidth="1"/>
    <col min="2555" max="2558" width="15.84375" style="56" customWidth="1"/>
    <col min="2559" max="2559" width="1.69140625" style="56" customWidth="1"/>
    <col min="2560" max="2561" width="26" style="56" customWidth="1"/>
    <col min="2562" max="2562" width="1.69140625" style="56" customWidth="1"/>
    <col min="2563" max="2565" width="18.69140625" style="56" customWidth="1"/>
    <col min="2566" max="2566" width="1.69140625" style="56" customWidth="1"/>
    <col min="2567" max="2567" width="25.3828125" style="56" customWidth="1"/>
    <col min="2568" max="2568" width="20.69140625" style="56" customWidth="1"/>
    <col min="2569" max="2569" width="1.69140625" style="56" customWidth="1"/>
    <col min="2570" max="2571" width="25.3828125" style="56" customWidth="1"/>
    <col min="2572" max="2572" width="20.69140625" style="56" customWidth="1"/>
    <col min="2573" max="2573" width="1.69140625" style="56" customWidth="1"/>
    <col min="2574" max="2574" width="41.53515625" style="56" customWidth="1"/>
    <col min="2575" max="2575" width="11.53515625" style="56" customWidth="1"/>
    <col min="2576" max="2576" width="23" style="56" customWidth="1"/>
    <col min="2577" max="2580" width="18.69140625" style="56" customWidth="1"/>
    <col min="2581" max="2581" width="1.69140625" style="56" customWidth="1"/>
    <col min="2582" max="2807" width="9.15234375" style="56"/>
    <col min="2808" max="2808" width="40" style="56" customWidth="1"/>
    <col min="2809" max="2809" width="11.53515625" style="56" customWidth="1"/>
    <col min="2810" max="2810" width="24" style="56" customWidth="1"/>
    <col min="2811" max="2814" width="15.84375" style="56" customWidth="1"/>
    <col min="2815" max="2815" width="1.69140625" style="56" customWidth="1"/>
    <col min="2816" max="2817" width="26" style="56" customWidth="1"/>
    <col min="2818" max="2818" width="1.69140625" style="56" customWidth="1"/>
    <col min="2819" max="2821" width="18.69140625" style="56" customWidth="1"/>
    <col min="2822" max="2822" width="1.69140625" style="56" customWidth="1"/>
    <col min="2823" max="2823" width="25.3828125" style="56" customWidth="1"/>
    <col min="2824" max="2824" width="20.69140625" style="56" customWidth="1"/>
    <col min="2825" max="2825" width="1.69140625" style="56" customWidth="1"/>
    <col min="2826" max="2827" width="25.3828125" style="56" customWidth="1"/>
    <col min="2828" max="2828" width="20.69140625" style="56" customWidth="1"/>
    <col min="2829" max="2829" width="1.69140625" style="56" customWidth="1"/>
    <col min="2830" max="2830" width="41.53515625" style="56" customWidth="1"/>
    <col min="2831" max="2831" width="11.53515625" style="56" customWidth="1"/>
    <col min="2832" max="2832" width="23" style="56" customWidth="1"/>
    <col min="2833" max="2836" width="18.69140625" style="56" customWidth="1"/>
    <col min="2837" max="2837" width="1.69140625" style="56" customWidth="1"/>
    <col min="2838" max="3063" width="9.15234375" style="56"/>
    <col min="3064" max="3064" width="40" style="56" customWidth="1"/>
    <col min="3065" max="3065" width="11.53515625" style="56" customWidth="1"/>
    <col min="3066" max="3066" width="24" style="56" customWidth="1"/>
    <col min="3067" max="3070" width="15.84375" style="56" customWidth="1"/>
    <col min="3071" max="3071" width="1.69140625" style="56" customWidth="1"/>
    <col min="3072" max="3073" width="26" style="56" customWidth="1"/>
    <col min="3074" max="3074" width="1.69140625" style="56" customWidth="1"/>
    <col min="3075" max="3077" width="18.69140625" style="56" customWidth="1"/>
    <col min="3078" max="3078" width="1.69140625" style="56" customWidth="1"/>
    <col min="3079" max="3079" width="25.3828125" style="56" customWidth="1"/>
    <col min="3080" max="3080" width="20.69140625" style="56" customWidth="1"/>
    <col min="3081" max="3081" width="1.69140625" style="56" customWidth="1"/>
    <col min="3082" max="3083" width="25.3828125" style="56" customWidth="1"/>
    <col min="3084" max="3084" width="20.69140625" style="56" customWidth="1"/>
    <col min="3085" max="3085" width="1.69140625" style="56" customWidth="1"/>
    <col min="3086" max="3086" width="41.53515625" style="56" customWidth="1"/>
    <col min="3087" max="3087" width="11.53515625" style="56" customWidth="1"/>
    <col min="3088" max="3088" width="23" style="56" customWidth="1"/>
    <col min="3089" max="3092" width="18.69140625" style="56" customWidth="1"/>
    <col min="3093" max="3093" width="1.69140625" style="56" customWidth="1"/>
    <col min="3094" max="3319" width="9.15234375" style="56"/>
    <col min="3320" max="3320" width="40" style="56" customWidth="1"/>
    <col min="3321" max="3321" width="11.53515625" style="56" customWidth="1"/>
    <col min="3322" max="3322" width="24" style="56" customWidth="1"/>
    <col min="3323" max="3326" width="15.84375" style="56" customWidth="1"/>
    <col min="3327" max="3327" width="1.69140625" style="56" customWidth="1"/>
    <col min="3328" max="3329" width="26" style="56" customWidth="1"/>
    <col min="3330" max="3330" width="1.69140625" style="56" customWidth="1"/>
    <col min="3331" max="3333" width="18.69140625" style="56" customWidth="1"/>
    <col min="3334" max="3334" width="1.69140625" style="56" customWidth="1"/>
    <col min="3335" max="3335" width="25.3828125" style="56" customWidth="1"/>
    <col min="3336" max="3336" width="20.69140625" style="56" customWidth="1"/>
    <col min="3337" max="3337" width="1.69140625" style="56" customWidth="1"/>
    <col min="3338" max="3339" width="25.3828125" style="56" customWidth="1"/>
    <col min="3340" max="3340" width="20.69140625" style="56" customWidth="1"/>
    <col min="3341" max="3341" width="1.69140625" style="56" customWidth="1"/>
    <col min="3342" max="3342" width="41.53515625" style="56" customWidth="1"/>
    <col min="3343" max="3343" width="11.53515625" style="56" customWidth="1"/>
    <col min="3344" max="3344" width="23" style="56" customWidth="1"/>
    <col min="3345" max="3348" width="18.69140625" style="56" customWidth="1"/>
    <col min="3349" max="3349" width="1.69140625" style="56" customWidth="1"/>
    <col min="3350" max="3575" width="9.15234375" style="56"/>
    <col min="3576" max="3576" width="40" style="56" customWidth="1"/>
    <col min="3577" max="3577" width="11.53515625" style="56" customWidth="1"/>
    <col min="3578" max="3578" width="24" style="56" customWidth="1"/>
    <col min="3579" max="3582" width="15.84375" style="56" customWidth="1"/>
    <col min="3583" max="3583" width="1.69140625" style="56" customWidth="1"/>
    <col min="3584" max="3585" width="26" style="56" customWidth="1"/>
    <col min="3586" max="3586" width="1.69140625" style="56" customWidth="1"/>
    <col min="3587" max="3589" width="18.69140625" style="56" customWidth="1"/>
    <col min="3590" max="3590" width="1.69140625" style="56" customWidth="1"/>
    <col min="3591" max="3591" width="25.3828125" style="56" customWidth="1"/>
    <col min="3592" max="3592" width="20.69140625" style="56" customWidth="1"/>
    <col min="3593" max="3593" width="1.69140625" style="56" customWidth="1"/>
    <col min="3594" max="3595" width="25.3828125" style="56" customWidth="1"/>
    <col min="3596" max="3596" width="20.69140625" style="56" customWidth="1"/>
    <col min="3597" max="3597" width="1.69140625" style="56" customWidth="1"/>
    <col min="3598" max="3598" width="41.53515625" style="56" customWidth="1"/>
    <col min="3599" max="3599" width="11.53515625" style="56" customWidth="1"/>
    <col min="3600" max="3600" width="23" style="56" customWidth="1"/>
    <col min="3601" max="3604" width="18.69140625" style="56" customWidth="1"/>
    <col min="3605" max="3605" width="1.69140625" style="56" customWidth="1"/>
    <col min="3606" max="3831" width="9.15234375" style="56"/>
    <col min="3832" max="3832" width="40" style="56" customWidth="1"/>
    <col min="3833" max="3833" width="11.53515625" style="56" customWidth="1"/>
    <col min="3834" max="3834" width="24" style="56" customWidth="1"/>
    <col min="3835" max="3838" width="15.84375" style="56" customWidth="1"/>
    <col min="3839" max="3839" width="1.69140625" style="56" customWidth="1"/>
    <col min="3840" max="3841" width="26" style="56" customWidth="1"/>
    <col min="3842" max="3842" width="1.69140625" style="56" customWidth="1"/>
    <col min="3843" max="3845" width="18.69140625" style="56" customWidth="1"/>
    <col min="3846" max="3846" width="1.69140625" style="56" customWidth="1"/>
    <col min="3847" max="3847" width="25.3828125" style="56" customWidth="1"/>
    <col min="3848" max="3848" width="20.69140625" style="56" customWidth="1"/>
    <col min="3849" max="3849" width="1.69140625" style="56" customWidth="1"/>
    <col min="3850" max="3851" width="25.3828125" style="56" customWidth="1"/>
    <col min="3852" max="3852" width="20.69140625" style="56" customWidth="1"/>
    <col min="3853" max="3853" width="1.69140625" style="56" customWidth="1"/>
    <col min="3854" max="3854" width="41.53515625" style="56" customWidth="1"/>
    <col min="3855" max="3855" width="11.53515625" style="56" customWidth="1"/>
    <col min="3856" max="3856" width="23" style="56" customWidth="1"/>
    <col min="3857" max="3860" width="18.69140625" style="56" customWidth="1"/>
    <col min="3861" max="3861" width="1.69140625" style="56" customWidth="1"/>
    <col min="3862" max="4087" width="9.15234375" style="56"/>
    <col min="4088" max="4088" width="40" style="56" customWidth="1"/>
    <col min="4089" max="4089" width="11.53515625" style="56" customWidth="1"/>
    <col min="4090" max="4090" width="24" style="56" customWidth="1"/>
    <col min="4091" max="4094" width="15.84375" style="56" customWidth="1"/>
    <col min="4095" max="4095" width="1.69140625" style="56" customWidth="1"/>
    <col min="4096" max="4097" width="26" style="56" customWidth="1"/>
    <col min="4098" max="4098" width="1.69140625" style="56" customWidth="1"/>
    <col min="4099" max="4101" width="18.69140625" style="56" customWidth="1"/>
    <col min="4102" max="4102" width="1.69140625" style="56" customWidth="1"/>
    <col min="4103" max="4103" width="25.3828125" style="56" customWidth="1"/>
    <col min="4104" max="4104" width="20.69140625" style="56" customWidth="1"/>
    <col min="4105" max="4105" width="1.69140625" style="56" customWidth="1"/>
    <col min="4106" max="4107" width="25.3828125" style="56" customWidth="1"/>
    <col min="4108" max="4108" width="20.69140625" style="56" customWidth="1"/>
    <col min="4109" max="4109" width="1.69140625" style="56" customWidth="1"/>
    <col min="4110" max="4110" width="41.53515625" style="56" customWidth="1"/>
    <col min="4111" max="4111" width="11.53515625" style="56" customWidth="1"/>
    <col min="4112" max="4112" width="23" style="56" customWidth="1"/>
    <col min="4113" max="4116" width="18.69140625" style="56" customWidth="1"/>
    <col min="4117" max="4117" width="1.69140625" style="56" customWidth="1"/>
    <col min="4118" max="4343" width="9.15234375" style="56"/>
    <col min="4344" max="4344" width="40" style="56" customWidth="1"/>
    <col min="4345" max="4345" width="11.53515625" style="56" customWidth="1"/>
    <col min="4346" max="4346" width="24" style="56" customWidth="1"/>
    <col min="4347" max="4350" width="15.84375" style="56" customWidth="1"/>
    <col min="4351" max="4351" width="1.69140625" style="56" customWidth="1"/>
    <col min="4352" max="4353" width="26" style="56" customWidth="1"/>
    <col min="4354" max="4354" width="1.69140625" style="56" customWidth="1"/>
    <col min="4355" max="4357" width="18.69140625" style="56" customWidth="1"/>
    <col min="4358" max="4358" width="1.69140625" style="56" customWidth="1"/>
    <col min="4359" max="4359" width="25.3828125" style="56" customWidth="1"/>
    <col min="4360" max="4360" width="20.69140625" style="56" customWidth="1"/>
    <col min="4361" max="4361" width="1.69140625" style="56" customWidth="1"/>
    <col min="4362" max="4363" width="25.3828125" style="56" customWidth="1"/>
    <col min="4364" max="4364" width="20.69140625" style="56" customWidth="1"/>
    <col min="4365" max="4365" width="1.69140625" style="56" customWidth="1"/>
    <col min="4366" max="4366" width="41.53515625" style="56" customWidth="1"/>
    <col min="4367" max="4367" width="11.53515625" style="56" customWidth="1"/>
    <col min="4368" max="4368" width="23" style="56" customWidth="1"/>
    <col min="4369" max="4372" width="18.69140625" style="56" customWidth="1"/>
    <col min="4373" max="4373" width="1.69140625" style="56" customWidth="1"/>
    <col min="4374" max="4599" width="9.15234375" style="56"/>
    <col min="4600" max="4600" width="40" style="56" customWidth="1"/>
    <col min="4601" max="4601" width="11.53515625" style="56" customWidth="1"/>
    <col min="4602" max="4602" width="24" style="56" customWidth="1"/>
    <col min="4603" max="4606" width="15.84375" style="56" customWidth="1"/>
    <col min="4607" max="4607" width="1.69140625" style="56" customWidth="1"/>
    <col min="4608" max="4609" width="26" style="56" customWidth="1"/>
    <col min="4610" max="4610" width="1.69140625" style="56" customWidth="1"/>
    <col min="4611" max="4613" width="18.69140625" style="56" customWidth="1"/>
    <col min="4614" max="4614" width="1.69140625" style="56" customWidth="1"/>
    <col min="4615" max="4615" width="25.3828125" style="56" customWidth="1"/>
    <col min="4616" max="4616" width="20.69140625" style="56" customWidth="1"/>
    <col min="4617" max="4617" width="1.69140625" style="56" customWidth="1"/>
    <col min="4618" max="4619" width="25.3828125" style="56" customWidth="1"/>
    <col min="4620" max="4620" width="20.69140625" style="56" customWidth="1"/>
    <col min="4621" max="4621" width="1.69140625" style="56" customWidth="1"/>
    <col min="4622" max="4622" width="41.53515625" style="56" customWidth="1"/>
    <col min="4623" max="4623" width="11.53515625" style="56" customWidth="1"/>
    <col min="4624" max="4624" width="23" style="56" customWidth="1"/>
    <col min="4625" max="4628" width="18.69140625" style="56" customWidth="1"/>
    <col min="4629" max="4629" width="1.69140625" style="56" customWidth="1"/>
    <col min="4630" max="4855" width="9.15234375" style="56"/>
    <col min="4856" max="4856" width="40" style="56" customWidth="1"/>
    <col min="4857" max="4857" width="11.53515625" style="56" customWidth="1"/>
    <col min="4858" max="4858" width="24" style="56" customWidth="1"/>
    <col min="4859" max="4862" width="15.84375" style="56" customWidth="1"/>
    <col min="4863" max="4863" width="1.69140625" style="56" customWidth="1"/>
    <col min="4864" max="4865" width="26" style="56" customWidth="1"/>
    <col min="4866" max="4866" width="1.69140625" style="56" customWidth="1"/>
    <col min="4867" max="4869" width="18.69140625" style="56" customWidth="1"/>
    <col min="4870" max="4870" width="1.69140625" style="56" customWidth="1"/>
    <col min="4871" max="4871" width="25.3828125" style="56" customWidth="1"/>
    <col min="4872" max="4872" width="20.69140625" style="56" customWidth="1"/>
    <col min="4873" max="4873" width="1.69140625" style="56" customWidth="1"/>
    <col min="4874" max="4875" width="25.3828125" style="56" customWidth="1"/>
    <col min="4876" max="4876" width="20.69140625" style="56" customWidth="1"/>
    <col min="4877" max="4877" width="1.69140625" style="56" customWidth="1"/>
    <col min="4878" max="4878" width="41.53515625" style="56" customWidth="1"/>
    <col min="4879" max="4879" width="11.53515625" style="56" customWidth="1"/>
    <col min="4880" max="4880" width="23" style="56" customWidth="1"/>
    <col min="4881" max="4884" width="18.69140625" style="56" customWidth="1"/>
    <col min="4885" max="4885" width="1.69140625" style="56" customWidth="1"/>
    <col min="4886" max="5111" width="9.15234375" style="56"/>
    <col min="5112" max="5112" width="40" style="56" customWidth="1"/>
    <col min="5113" max="5113" width="11.53515625" style="56" customWidth="1"/>
    <col min="5114" max="5114" width="24" style="56" customWidth="1"/>
    <col min="5115" max="5118" width="15.84375" style="56" customWidth="1"/>
    <col min="5119" max="5119" width="1.69140625" style="56" customWidth="1"/>
    <col min="5120" max="5121" width="26" style="56" customWidth="1"/>
    <col min="5122" max="5122" width="1.69140625" style="56" customWidth="1"/>
    <col min="5123" max="5125" width="18.69140625" style="56" customWidth="1"/>
    <col min="5126" max="5126" width="1.69140625" style="56" customWidth="1"/>
    <col min="5127" max="5127" width="25.3828125" style="56" customWidth="1"/>
    <col min="5128" max="5128" width="20.69140625" style="56" customWidth="1"/>
    <col min="5129" max="5129" width="1.69140625" style="56" customWidth="1"/>
    <col min="5130" max="5131" width="25.3828125" style="56" customWidth="1"/>
    <col min="5132" max="5132" width="20.69140625" style="56" customWidth="1"/>
    <col min="5133" max="5133" width="1.69140625" style="56" customWidth="1"/>
    <col min="5134" max="5134" width="41.53515625" style="56" customWidth="1"/>
    <col min="5135" max="5135" width="11.53515625" style="56" customWidth="1"/>
    <col min="5136" max="5136" width="23" style="56" customWidth="1"/>
    <col min="5137" max="5140" width="18.69140625" style="56" customWidth="1"/>
    <col min="5141" max="5141" width="1.69140625" style="56" customWidth="1"/>
    <col min="5142" max="5367" width="9.15234375" style="56"/>
    <col min="5368" max="5368" width="40" style="56" customWidth="1"/>
    <col min="5369" max="5369" width="11.53515625" style="56" customWidth="1"/>
    <col min="5370" max="5370" width="24" style="56" customWidth="1"/>
    <col min="5371" max="5374" width="15.84375" style="56" customWidth="1"/>
    <col min="5375" max="5375" width="1.69140625" style="56" customWidth="1"/>
    <col min="5376" max="5377" width="26" style="56" customWidth="1"/>
    <col min="5378" max="5378" width="1.69140625" style="56" customWidth="1"/>
    <col min="5379" max="5381" width="18.69140625" style="56" customWidth="1"/>
    <col min="5382" max="5382" width="1.69140625" style="56" customWidth="1"/>
    <col min="5383" max="5383" width="25.3828125" style="56" customWidth="1"/>
    <col min="5384" max="5384" width="20.69140625" style="56" customWidth="1"/>
    <col min="5385" max="5385" width="1.69140625" style="56" customWidth="1"/>
    <col min="5386" max="5387" width="25.3828125" style="56" customWidth="1"/>
    <col min="5388" max="5388" width="20.69140625" style="56" customWidth="1"/>
    <col min="5389" max="5389" width="1.69140625" style="56" customWidth="1"/>
    <col min="5390" max="5390" width="41.53515625" style="56" customWidth="1"/>
    <col min="5391" max="5391" width="11.53515625" style="56" customWidth="1"/>
    <col min="5392" max="5392" width="23" style="56" customWidth="1"/>
    <col min="5393" max="5396" width="18.69140625" style="56" customWidth="1"/>
    <col min="5397" max="5397" width="1.69140625" style="56" customWidth="1"/>
    <col min="5398" max="5623" width="9.15234375" style="56"/>
    <col min="5624" max="5624" width="40" style="56" customWidth="1"/>
    <col min="5625" max="5625" width="11.53515625" style="56" customWidth="1"/>
    <col min="5626" max="5626" width="24" style="56" customWidth="1"/>
    <col min="5627" max="5630" width="15.84375" style="56" customWidth="1"/>
    <col min="5631" max="5631" width="1.69140625" style="56" customWidth="1"/>
    <col min="5632" max="5633" width="26" style="56" customWidth="1"/>
    <col min="5634" max="5634" width="1.69140625" style="56" customWidth="1"/>
    <col min="5635" max="5637" width="18.69140625" style="56" customWidth="1"/>
    <col min="5638" max="5638" width="1.69140625" style="56" customWidth="1"/>
    <col min="5639" max="5639" width="25.3828125" style="56" customWidth="1"/>
    <col min="5640" max="5640" width="20.69140625" style="56" customWidth="1"/>
    <col min="5641" max="5641" width="1.69140625" style="56" customWidth="1"/>
    <col min="5642" max="5643" width="25.3828125" style="56" customWidth="1"/>
    <col min="5644" max="5644" width="20.69140625" style="56" customWidth="1"/>
    <col min="5645" max="5645" width="1.69140625" style="56" customWidth="1"/>
    <col min="5646" max="5646" width="41.53515625" style="56" customWidth="1"/>
    <col min="5647" max="5647" width="11.53515625" style="56" customWidth="1"/>
    <col min="5648" max="5648" width="23" style="56" customWidth="1"/>
    <col min="5649" max="5652" width="18.69140625" style="56" customWidth="1"/>
    <col min="5653" max="5653" width="1.69140625" style="56" customWidth="1"/>
    <col min="5654" max="5879" width="9.15234375" style="56"/>
    <col min="5880" max="5880" width="40" style="56" customWidth="1"/>
    <col min="5881" max="5881" width="11.53515625" style="56" customWidth="1"/>
    <col min="5882" max="5882" width="24" style="56" customWidth="1"/>
    <col min="5883" max="5886" width="15.84375" style="56" customWidth="1"/>
    <col min="5887" max="5887" width="1.69140625" style="56" customWidth="1"/>
    <col min="5888" max="5889" width="26" style="56" customWidth="1"/>
    <col min="5890" max="5890" width="1.69140625" style="56" customWidth="1"/>
    <col min="5891" max="5893" width="18.69140625" style="56" customWidth="1"/>
    <col min="5894" max="5894" width="1.69140625" style="56" customWidth="1"/>
    <col min="5895" max="5895" width="25.3828125" style="56" customWidth="1"/>
    <col min="5896" max="5896" width="20.69140625" style="56" customWidth="1"/>
    <col min="5897" max="5897" width="1.69140625" style="56" customWidth="1"/>
    <col min="5898" max="5899" width="25.3828125" style="56" customWidth="1"/>
    <col min="5900" max="5900" width="20.69140625" style="56" customWidth="1"/>
    <col min="5901" max="5901" width="1.69140625" style="56" customWidth="1"/>
    <col min="5902" max="5902" width="41.53515625" style="56" customWidth="1"/>
    <col min="5903" max="5903" width="11.53515625" style="56" customWidth="1"/>
    <col min="5904" max="5904" width="23" style="56" customWidth="1"/>
    <col min="5905" max="5908" width="18.69140625" style="56" customWidth="1"/>
    <col min="5909" max="5909" width="1.69140625" style="56" customWidth="1"/>
    <col min="5910" max="6135" width="9.15234375" style="56"/>
    <col min="6136" max="6136" width="40" style="56" customWidth="1"/>
    <col min="6137" max="6137" width="11.53515625" style="56" customWidth="1"/>
    <col min="6138" max="6138" width="24" style="56" customWidth="1"/>
    <col min="6139" max="6142" width="15.84375" style="56" customWidth="1"/>
    <col min="6143" max="6143" width="1.69140625" style="56" customWidth="1"/>
    <col min="6144" max="6145" width="26" style="56" customWidth="1"/>
    <col min="6146" max="6146" width="1.69140625" style="56" customWidth="1"/>
    <col min="6147" max="6149" width="18.69140625" style="56" customWidth="1"/>
    <col min="6150" max="6150" width="1.69140625" style="56" customWidth="1"/>
    <col min="6151" max="6151" width="25.3828125" style="56" customWidth="1"/>
    <col min="6152" max="6152" width="20.69140625" style="56" customWidth="1"/>
    <col min="6153" max="6153" width="1.69140625" style="56" customWidth="1"/>
    <col min="6154" max="6155" width="25.3828125" style="56" customWidth="1"/>
    <col min="6156" max="6156" width="20.69140625" style="56" customWidth="1"/>
    <col min="6157" max="6157" width="1.69140625" style="56" customWidth="1"/>
    <col min="6158" max="6158" width="41.53515625" style="56" customWidth="1"/>
    <col min="6159" max="6159" width="11.53515625" style="56" customWidth="1"/>
    <col min="6160" max="6160" width="23" style="56" customWidth="1"/>
    <col min="6161" max="6164" width="18.69140625" style="56" customWidth="1"/>
    <col min="6165" max="6165" width="1.69140625" style="56" customWidth="1"/>
    <col min="6166" max="6391" width="9.15234375" style="56"/>
    <col min="6392" max="6392" width="40" style="56" customWidth="1"/>
    <col min="6393" max="6393" width="11.53515625" style="56" customWidth="1"/>
    <col min="6394" max="6394" width="24" style="56" customWidth="1"/>
    <col min="6395" max="6398" width="15.84375" style="56" customWidth="1"/>
    <col min="6399" max="6399" width="1.69140625" style="56" customWidth="1"/>
    <col min="6400" max="6401" width="26" style="56" customWidth="1"/>
    <col min="6402" max="6402" width="1.69140625" style="56" customWidth="1"/>
    <col min="6403" max="6405" width="18.69140625" style="56" customWidth="1"/>
    <col min="6406" max="6406" width="1.69140625" style="56" customWidth="1"/>
    <col min="6407" max="6407" width="25.3828125" style="56" customWidth="1"/>
    <col min="6408" max="6408" width="20.69140625" style="56" customWidth="1"/>
    <col min="6409" max="6409" width="1.69140625" style="56" customWidth="1"/>
    <col min="6410" max="6411" width="25.3828125" style="56" customWidth="1"/>
    <col min="6412" max="6412" width="20.69140625" style="56" customWidth="1"/>
    <col min="6413" max="6413" width="1.69140625" style="56" customWidth="1"/>
    <col min="6414" max="6414" width="41.53515625" style="56" customWidth="1"/>
    <col min="6415" max="6415" width="11.53515625" style="56" customWidth="1"/>
    <col min="6416" max="6416" width="23" style="56" customWidth="1"/>
    <col min="6417" max="6420" width="18.69140625" style="56" customWidth="1"/>
    <col min="6421" max="6421" width="1.69140625" style="56" customWidth="1"/>
    <col min="6422" max="6647" width="9.15234375" style="56"/>
    <col min="6648" max="6648" width="40" style="56" customWidth="1"/>
    <col min="6649" max="6649" width="11.53515625" style="56" customWidth="1"/>
    <col min="6650" max="6650" width="24" style="56" customWidth="1"/>
    <col min="6651" max="6654" width="15.84375" style="56" customWidth="1"/>
    <col min="6655" max="6655" width="1.69140625" style="56" customWidth="1"/>
    <col min="6656" max="6657" width="26" style="56" customWidth="1"/>
    <col min="6658" max="6658" width="1.69140625" style="56" customWidth="1"/>
    <col min="6659" max="6661" width="18.69140625" style="56" customWidth="1"/>
    <col min="6662" max="6662" width="1.69140625" style="56" customWidth="1"/>
    <col min="6663" max="6663" width="25.3828125" style="56" customWidth="1"/>
    <col min="6664" max="6664" width="20.69140625" style="56" customWidth="1"/>
    <col min="6665" max="6665" width="1.69140625" style="56" customWidth="1"/>
    <col min="6666" max="6667" width="25.3828125" style="56" customWidth="1"/>
    <col min="6668" max="6668" width="20.69140625" style="56" customWidth="1"/>
    <col min="6669" max="6669" width="1.69140625" style="56" customWidth="1"/>
    <col min="6670" max="6670" width="41.53515625" style="56" customWidth="1"/>
    <col min="6671" max="6671" width="11.53515625" style="56" customWidth="1"/>
    <col min="6672" max="6672" width="23" style="56" customWidth="1"/>
    <col min="6673" max="6676" width="18.69140625" style="56" customWidth="1"/>
    <col min="6677" max="6677" width="1.69140625" style="56" customWidth="1"/>
    <col min="6678" max="6903" width="9.15234375" style="56"/>
    <col min="6904" max="6904" width="40" style="56" customWidth="1"/>
    <col min="6905" max="6905" width="11.53515625" style="56" customWidth="1"/>
    <col min="6906" max="6906" width="24" style="56" customWidth="1"/>
    <col min="6907" max="6910" width="15.84375" style="56" customWidth="1"/>
    <col min="6911" max="6911" width="1.69140625" style="56" customWidth="1"/>
    <col min="6912" max="6913" width="26" style="56" customWidth="1"/>
    <col min="6914" max="6914" width="1.69140625" style="56" customWidth="1"/>
    <col min="6915" max="6917" width="18.69140625" style="56" customWidth="1"/>
    <col min="6918" max="6918" width="1.69140625" style="56" customWidth="1"/>
    <col min="6919" max="6919" width="25.3828125" style="56" customWidth="1"/>
    <col min="6920" max="6920" width="20.69140625" style="56" customWidth="1"/>
    <col min="6921" max="6921" width="1.69140625" style="56" customWidth="1"/>
    <col min="6922" max="6923" width="25.3828125" style="56" customWidth="1"/>
    <col min="6924" max="6924" width="20.69140625" style="56" customWidth="1"/>
    <col min="6925" max="6925" width="1.69140625" style="56" customWidth="1"/>
    <col min="6926" max="6926" width="41.53515625" style="56" customWidth="1"/>
    <col min="6927" max="6927" width="11.53515625" style="56" customWidth="1"/>
    <col min="6928" max="6928" width="23" style="56" customWidth="1"/>
    <col min="6929" max="6932" width="18.69140625" style="56" customWidth="1"/>
    <col min="6933" max="6933" width="1.69140625" style="56" customWidth="1"/>
    <col min="6934" max="7159" width="9.15234375" style="56"/>
    <col min="7160" max="7160" width="40" style="56" customWidth="1"/>
    <col min="7161" max="7161" width="11.53515625" style="56" customWidth="1"/>
    <col min="7162" max="7162" width="24" style="56" customWidth="1"/>
    <col min="7163" max="7166" width="15.84375" style="56" customWidth="1"/>
    <col min="7167" max="7167" width="1.69140625" style="56" customWidth="1"/>
    <col min="7168" max="7169" width="26" style="56" customWidth="1"/>
    <col min="7170" max="7170" width="1.69140625" style="56" customWidth="1"/>
    <col min="7171" max="7173" width="18.69140625" style="56" customWidth="1"/>
    <col min="7174" max="7174" width="1.69140625" style="56" customWidth="1"/>
    <col min="7175" max="7175" width="25.3828125" style="56" customWidth="1"/>
    <col min="7176" max="7176" width="20.69140625" style="56" customWidth="1"/>
    <col min="7177" max="7177" width="1.69140625" style="56" customWidth="1"/>
    <col min="7178" max="7179" width="25.3828125" style="56" customWidth="1"/>
    <col min="7180" max="7180" width="20.69140625" style="56" customWidth="1"/>
    <col min="7181" max="7181" width="1.69140625" style="56" customWidth="1"/>
    <col min="7182" max="7182" width="41.53515625" style="56" customWidth="1"/>
    <col min="7183" max="7183" width="11.53515625" style="56" customWidth="1"/>
    <col min="7184" max="7184" width="23" style="56" customWidth="1"/>
    <col min="7185" max="7188" width="18.69140625" style="56" customWidth="1"/>
    <col min="7189" max="7189" width="1.69140625" style="56" customWidth="1"/>
    <col min="7190" max="7415" width="9.15234375" style="56"/>
    <col min="7416" max="7416" width="40" style="56" customWidth="1"/>
    <col min="7417" max="7417" width="11.53515625" style="56" customWidth="1"/>
    <col min="7418" max="7418" width="24" style="56" customWidth="1"/>
    <col min="7419" max="7422" width="15.84375" style="56" customWidth="1"/>
    <col min="7423" max="7423" width="1.69140625" style="56" customWidth="1"/>
    <col min="7424" max="7425" width="26" style="56" customWidth="1"/>
    <col min="7426" max="7426" width="1.69140625" style="56" customWidth="1"/>
    <col min="7427" max="7429" width="18.69140625" style="56" customWidth="1"/>
    <col min="7430" max="7430" width="1.69140625" style="56" customWidth="1"/>
    <col min="7431" max="7431" width="25.3828125" style="56" customWidth="1"/>
    <col min="7432" max="7432" width="20.69140625" style="56" customWidth="1"/>
    <col min="7433" max="7433" width="1.69140625" style="56" customWidth="1"/>
    <col min="7434" max="7435" width="25.3828125" style="56" customWidth="1"/>
    <col min="7436" max="7436" width="20.69140625" style="56" customWidth="1"/>
    <col min="7437" max="7437" width="1.69140625" style="56" customWidth="1"/>
    <col min="7438" max="7438" width="41.53515625" style="56" customWidth="1"/>
    <col min="7439" max="7439" width="11.53515625" style="56" customWidth="1"/>
    <col min="7440" max="7440" width="23" style="56" customWidth="1"/>
    <col min="7441" max="7444" width="18.69140625" style="56" customWidth="1"/>
    <col min="7445" max="7445" width="1.69140625" style="56" customWidth="1"/>
    <col min="7446" max="7671" width="9.15234375" style="56"/>
    <col min="7672" max="7672" width="40" style="56" customWidth="1"/>
    <col min="7673" max="7673" width="11.53515625" style="56" customWidth="1"/>
    <col min="7674" max="7674" width="24" style="56" customWidth="1"/>
    <col min="7675" max="7678" width="15.84375" style="56" customWidth="1"/>
    <col min="7679" max="7679" width="1.69140625" style="56" customWidth="1"/>
    <col min="7680" max="7681" width="26" style="56" customWidth="1"/>
    <col min="7682" max="7682" width="1.69140625" style="56" customWidth="1"/>
    <col min="7683" max="7685" width="18.69140625" style="56" customWidth="1"/>
    <col min="7686" max="7686" width="1.69140625" style="56" customWidth="1"/>
    <col min="7687" max="7687" width="25.3828125" style="56" customWidth="1"/>
    <col min="7688" max="7688" width="20.69140625" style="56" customWidth="1"/>
    <col min="7689" max="7689" width="1.69140625" style="56" customWidth="1"/>
    <col min="7690" max="7691" width="25.3828125" style="56" customWidth="1"/>
    <col min="7692" max="7692" width="20.69140625" style="56" customWidth="1"/>
    <col min="7693" max="7693" width="1.69140625" style="56" customWidth="1"/>
    <col min="7694" max="7694" width="41.53515625" style="56" customWidth="1"/>
    <col min="7695" max="7695" width="11.53515625" style="56" customWidth="1"/>
    <col min="7696" max="7696" width="23" style="56" customWidth="1"/>
    <col min="7697" max="7700" width="18.69140625" style="56" customWidth="1"/>
    <col min="7701" max="7701" width="1.69140625" style="56" customWidth="1"/>
    <col min="7702" max="7927" width="9.15234375" style="56"/>
    <col min="7928" max="7928" width="40" style="56" customWidth="1"/>
    <col min="7929" max="7929" width="11.53515625" style="56" customWidth="1"/>
    <col min="7930" max="7930" width="24" style="56" customWidth="1"/>
    <col min="7931" max="7934" width="15.84375" style="56" customWidth="1"/>
    <col min="7935" max="7935" width="1.69140625" style="56" customWidth="1"/>
    <col min="7936" max="7937" width="26" style="56" customWidth="1"/>
    <col min="7938" max="7938" width="1.69140625" style="56" customWidth="1"/>
    <col min="7939" max="7941" width="18.69140625" style="56" customWidth="1"/>
    <col min="7942" max="7942" width="1.69140625" style="56" customWidth="1"/>
    <col min="7943" max="7943" width="25.3828125" style="56" customWidth="1"/>
    <col min="7944" max="7944" width="20.69140625" style="56" customWidth="1"/>
    <col min="7945" max="7945" width="1.69140625" style="56" customWidth="1"/>
    <col min="7946" max="7947" width="25.3828125" style="56" customWidth="1"/>
    <col min="7948" max="7948" width="20.69140625" style="56" customWidth="1"/>
    <col min="7949" max="7949" width="1.69140625" style="56" customWidth="1"/>
    <col min="7950" max="7950" width="41.53515625" style="56" customWidth="1"/>
    <col min="7951" max="7951" width="11.53515625" style="56" customWidth="1"/>
    <col min="7952" max="7952" width="23" style="56" customWidth="1"/>
    <col min="7953" max="7956" width="18.69140625" style="56" customWidth="1"/>
    <col min="7957" max="7957" width="1.69140625" style="56" customWidth="1"/>
    <col min="7958" max="8183" width="9.15234375" style="56"/>
    <col min="8184" max="8184" width="40" style="56" customWidth="1"/>
    <col min="8185" max="8185" width="11.53515625" style="56" customWidth="1"/>
    <col min="8186" max="8186" width="24" style="56" customWidth="1"/>
    <col min="8187" max="8190" width="15.84375" style="56" customWidth="1"/>
    <col min="8191" max="8191" width="1.69140625" style="56" customWidth="1"/>
    <col min="8192" max="8193" width="26" style="56" customWidth="1"/>
    <col min="8194" max="8194" width="1.69140625" style="56" customWidth="1"/>
    <col min="8195" max="8197" width="18.69140625" style="56" customWidth="1"/>
    <col min="8198" max="8198" width="1.69140625" style="56" customWidth="1"/>
    <col min="8199" max="8199" width="25.3828125" style="56" customWidth="1"/>
    <col min="8200" max="8200" width="20.69140625" style="56" customWidth="1"/>
    <col min="8201" max="8201" width="1.69140625" style="56" customWidth="1"/>
    <col min="8202" max="8203" width="25.3828125" style="56" customWidth="1"/>
    <col min="8204" max="8204" width="20.69140625" style="56" customWidth="1"/>
    <col min="8205" max="8205" width="1.69140625" style="56" customWidth="1"/>
    <col min="8206" max="8206" width="41.53515625" style="56" customWidth="1"/>
    <col min="8207" max="8207" width="11.53515625" style="56" customWidth="1"/>
    <col min="8208" max="8208" width="23" style="56" customWidth="1"/>
    <col min="8209" max="8212" width="18.69140625" style="56" customWidth="1"/>
    <col min="8213" max="8213" width="1.69140625" style="56" customWidth="1"/>
    <col min="8214" max="8439" width="9.15234375" style="56"/>
    <col min="8440" max="8440" width="40" style="56" customWidth="1"/>
    <col min="8441" max="8441" width="11.53515625" style="56" customWidth="1"/>
    <col min="8442" max="8442" width="24" style="56" customWidth="1"/>
    <col min="8443" max="8446" width="15.84375" style="56" customWidth="1"/>
    <col min="8447" max="8447" width="1.69140625" style="56" customWidth="1"/>
    <col min="8448" max="8449" width="26" style="56" customWidth="1"/>
    <col min="8450" max="8450" width="1.69140625" style="56" customWidth="1"/>
    <col min="8451" max="8453" width="18.69140625" style="56" customWidth="1"/>
    <col min="8454" max="8454" width="1.69140625" style="56" customWidth="1"/>
    <col min="8455" max="8455" width="25.3828125" style="56" customWidth="1"/>
    <col min="8456" max="8456" width="20.69140625" style="56" customWidth="1"/>
    <col min="8457" max="8457" width="1.69140625" style="56" customWidth="1"/>
    <col min="8458" max="8459" width="25.3828125" style="56" customWidth="1"/>
    <col min="8460" max="8460" width="20.69140625" style="56" customWidth="1"/>
    <col min="8461" max="8461" width="1.69140625" style="56" customWidth="1"/>
    <col min="8462" max="8462" width="41.53515625" style="56" customWidth="1"/>
    <col min="8463" max="8463" width="11.53515625" style="56" customWidth="1"/>
    <col min="8464" max="8464" width="23" style="56" customWidth="1"/>
    <col min="8465" max="8468" width="18.69140625" style="56" customWidth="1"/>
    <col min="8469" max="8469" width="1.69140625" style="56" customWidth="1"/>
    <col min="8470" max="8695" width="9.15234375" style="56"/>
    <col min="8696" max="8696" width="40" style="56" customWidth="1"/>
    <col min="8697" max="8697" width="11.53515625" style="56" customWidth="1"/>
    <col min="8698" max="8698" width="24" style="56" customWidth="1"/>
    <col min="8699" max="8702" width="15.84375" style="56" customWidth="1"/>
    <col min="8703" max="8703" width="1.69140625" style="56" customWidth="1"/>
    <col min="8704" max="8705" width="26" style="56" customWidth="1"/>
    <col min="8706" max="8706" width="1.69140625" style="56" customWidth="1"/>
    <col min="8707" max="8709" width="18.69140625" style="56" customWidth="1"/>
    <col min="8710" max="8710" width="1.69140625" style="56" customWidth="1"/>
    <col min="8711" max="8711" width="25.3828125" style="56" customWidth="1"/>
    <col min="8712" max="8712" width="20.69140625" style="56" customWidth="1"/>
    <col min="8713" max="8713" width="1.69140625" style="56" customWidth="1"/>
    <col min="8714" max="8715" width="25.3828125" style="56" customWidth="1"/>
    <col min="8716" max="8716" width="20.69140625" style="56" customWidth="1"/>
    <col min="8717" max="8717" width="1.69140625" style="56" customWidth="1"/>
    <col min="8718" max="8718" width="41.53515625" style="56" customWidth="1"/>
    <col min="8719" max="8719" width="11.53515625" style="56" customWidth="1"/>
    <col min="8720" max="8720" width="23" style="56" customWidth="1"/>
    <col min="8721" max="8724" width="18.69140625" style="56" customWidth="1"/>
    <col min="8725" max="8725" width="1.69140625" style="56" customWidth="1"/>
    <col min="8726" max="8951" width="9.15234375" style="56"/>
    <col min="8952" max="8952" width="40" style="56" customWidth="1"/>
    <col min="8953" max="8953" width="11.53515625" style="56" customWidth="1"/>
    <col min="8954" max="8954" width="24" style="56" customWidth="1"/>
    <col min="8955" max="8958" width="15.84375" style="56" customWidth="1"/>
    <col min="8959" max="8959" width="1.69140625" style="56" customWidth="1"/>
    <col min="8960" max="8961" width="26" style="56" customWidth="1"/>
    <col min="8962" max="8962" width="1.69140625" style="56" customWidth="1"/>
    <col min="8963" max="8965" width="18.69140625" style="56" customWidth="1"/>
    <col min="8966" max="8966" width="1.69140625" style="56" customWidth="1"/>
    <col min="8967" max="8967" width="25.3828125" style="56" customWidth="1"/>
    <col min="8968" max="8968" width="20.69140625" style="56" customWidth="1"/>
    <col min="8969" max="8969" width="1.69140625" style="56" customWidth="1"/>
    <col min="8970" max="8971" width="25.3828125" style="56" customWidth="1"/>
    <col min="8972" max="8972" width="20.69140625" style="56" customWidth="1"/>
    <col min="8973" max="8973" width="1.69140625" style="56" customWidth="1"/>
    <col min="8974" max="8974" width="41.53515625" style="56" customWidth="1"/>
    <col min="8975" max="8975" width="11.53515625" style="56" customWidth="1"/>
    <col min="8976" max="8976" width="23" style="56" customWidth="1"/>
    <col min="8977" max="8980" width="18.69140625" style="56" customWidth="1"/>
    <col min="8981" max="8981" width="1.69140625" style="56" customWidth="1"/>
    <col min="8982" max="9207" width="9.15234375" style="56"/>
    <col min="9208" max="9208" width="40" style="56" customWidth="1"/>
    <col min="9209" max="9209" width="11.53515625" style="56" customWidth="1"/>
    <col min="9210" max="9210" width="24" style="56" customWidth="1"/>
    <col min="9211" max="9214" width="15.84375" style="56" customWidth="1"/>
    <col min="9215" max="9215" width="1.69140625" style="56" customWidth="1"/>
    <col min="9216" max="9217" width="26" style="56" customWidth="1"/>
    <col min="9218" max="9218" width="1.69140625" style="56" customWidth="1"/>
    <col min="9219" max="9221" width="18.69140625" style="56" customWidth="1"/>
    <col min="9222" max="9222" width="1.69140625" style="56" customWidth="1"/>
    <col min="9223" max="9223" width="25.3828125" style="56" customWidth="1"/>
    <col min="9224" max="9224" width="20.69140625" style="56" customWidth="1"/>
    <col min="9225" max="9225" width="1.69140625" style="56" customWidth="1"/>
    <col min="9226" max="9227" width="25.3828125" style="56" customWidth="1"/>
    <col min="9228" max="9228" width="20.69140625" style="56" customWidth="1"/>
    <col min="9229" max="9229" width="1.69140625" style="56" customWidth="1"/>
    <col min="9230" max="9230" width="41.53515625" style="56" customWidth="1"/>
    <col min="9231" max="9231" width="11.53515625" style="56" customWidth="1"/>
    <col min="9232" max="9232" width="23" style="56" customWidth="1"/>
    <col min="9233" max="9236" width="18.69140625" style="56" customWidth="1"/>
    <col min="9237" max="9237" width="1.69140625" style="56" customWidth="1"/>
    <col min="9238" max="9463" width="9.15234375" style="56"/>
    <col min="9464" max="9464" width="40" style="56" customWidth="1"/>
    <col min="9465" max="9465" width="11.53515625" style="56" customWidth="1"/>
    <col min="9466" max="9466" width="24" style="56" customWidth="1"/>
    <col min="9467" max="9470" width="15.84375" style="56" customWidth="1"/>
    <col min="9471" max="9471" width="1.69140625" style="56" customWidth="1"/>
    <col min="9472" max="9473" width="26" style="56" customWidth="1"/>
    <col min="9474" max="9474" width="1.69140625" style="56" customWidth="1"/>
    <col min="9475" max="9477" width="18.69140625" style="56" customWidth="1"/>
    <col min="9478" max="9478" width="1.69140625" style="56" customWidth="1"/>
    <col min="9479" max="9479" width="25.3828125" style="56" customWidth="1"/>
    <col min="9480" max="9480" width="20.69140625" style="56" customWidth="1"/>
    <col min="9481" max="9481" width="1.69140625" style="56" customWidth="1"/>
    <col min="9482" max="9483" width="25.3828125" style="56" customWidth="1"/>
    <col min="9484" max="9484" width="20.69140625" style="56" customWidth="1"/>
    <col min="9485" max="9485" width="1.69140625" style="56" customWidth="1"/>
    <col min="9486" max="9486" width="41.53515625" style="56" customWidth="1"/>
    <col min="9487" max="9487" width="11.53515625" style="56" customWidth="1"/>
    <col min="9488" max="9488" width="23" style="56" customWidth="1"/>
    <col min="9489" max="9492" width="18.69140625" style="56" customWidth="1"/>
    <col min="9493" max="9493" width="1.69140625" style="56" customWidth="1"/>
    <col min="9494" max="9719" width="9.15234375" style="56"/>
    <col min="9720" max="9720" width="40" style="56" customWidth="1"/>
    <col min="9721" max="9721" width="11.53515625" style="56" customWidth="1"/>
    <col min="9722" max="9722" width="24" style="56" customWidth="1"/>
    <col min="9723" max="9726" width="15.84375" style="56" customWidth="1"/>
    <col min="9727" max="9727" width="1.69140625" style="56" customWidth="1"/>
    <col min="9728" max="9729" width="26" style="56" customWidth="1"/>
    <col min="9730" max="9730" width="1.69140625" style="56" customWidth="1"/>
    <col min="9731" max="9733" width="18.69140625" style="56" customWidth="1"/>
    <col min="9734" max="9734" width="1.69140625" style="56" customWidth="1"/>
    <col min="9735" max="9735" width="25.3828125" style="56" customWidth="1"/>
    <col min="9736" max="9736" width="20.69140625" style="56" customWidth="1"/>
    <col min="9737" max="9737" width="1.69140625" style="56" customWidth="1"/>
    <col min="9738" max="9739" width="25.3828125" style="56" customWidth="1"/>
    <col min="9740" max="9740" width="20.69140625" style="56" customWidth="1"/>
    <col min="9741" max="9741" width="1.69140625" style="56" customWidth="1"/>
    <col min="9742" max="9742" width="41.53515625" style="56" customWidth="1"/>
    <col min="9743" max="9743" width="11.53515625" style="56" customWidth="1"/>
    <col min="9744" max="9744" width="23" style="56" customWidth="1"/>
    <col min="9745" max="9748" width="18.69140625" style="56" customWidth="1"/>
    <col min="9749" max="9749" width="1.69140625" style="56" customWidth="1"/>
    <col min="9750" max="9975" width="9.15234375" style="56"/>
    <col min="9976" max="9976" width="40" style="56" customWidth="1"/>
    <col min="9977" max="9977" width="11.53515625" style="56" customWidth="1"/>
    <col min="9978" max="9978" width="24" style="56" customWidth="1"/>
    <col min="9979" max="9982" width="15.84375" style="56" customWidth="1"/>
    <col min="9983" max="9983" width="1.69140625" style="56" customWidth="1"/>
    <col min="9984" max="9985" width="26" style="56" customWidth="1"/>
    <col min="9986" max="9986" width="1.69140625" style="56" customWidth="1"/>
    <col min="9987" max="9989" width="18.69140625" style="56" customWidth="1"/>
    <col min="9990" max="9990" width="1.69140625" style="56" customWidth="1"/>
    <col min="9991" max="9991" width="25.3828125" style="56" customWidth="1"/>
    <col min="9992" max="9992" width="20.69140625" style="56" customWidth="1"/>
    <col min="9993" max="9993" width="1.69140625" style="56" customWidth="1"/>
    <col min="9994" max="9995" width="25.3828125" style="56" customWidth="1"/>
    <col min="9996" max="9996" width="20.69140625" style="56" customWidth="1"/>
    <col min="9997" max="9997" width="1.69140625" style="56" customWidth="1"/>
    <col min="9998" max="9998" width="41.53515625" style="56" customWidth="1"/>
    <col min="9999" max="9999" width="11.53515625" style="56" customWidth="1"/>
    <col min="10000" max="10000" width="23" style="56" customWidth="1"/>
    <col min="10001" max="10004" width="18.69140625" style="56" customWidth="1"/>
    <col min="10005" max="10005" width="1.69140625" style="56" customWidth="1"/>
    <col min="10006" max="10231" width="9.15234375" style="56"/>
    <col min="10232" max="10232" width="40" style="56" customWidth="1"/>
    <col min="10233" max="10233" width="11.53515625" style="56" customWidth="1"/>
    <col min="10234" max="10234" width="24" style="56" customWidth="1"/>
    <col min="10235" max="10238" width="15.84375" style="56" customWidth="1"/>
    <col min="10239" max="10239" width="1.69140625" style="56" customWidth="1"/>
    <col min="10240" max="10241" width="26" style="56" customWidth="1"/>
    <col min="10242" max="10242" width="1.69140625" style="56" customWidth="1"/>
    <col min="10243" max="10245" width="18.69140625" style="56" customWidth="1"/>
    <col min="10246" max="10246" width="1.69140625" style="56" customWidth="1"/>
    <col min="10247" max="10247" width="25.3828125" style="56" customWidth="1"/>
    <col min="10248" max="10248" width="20.69140625" style="56" customWidth="1"/>
    <col min="10249" max="10249" width="1.69140625" style="56" customWidth="1"/>
    <col min="10250" max="10251" width="25.3828125" style="56" customWidth="1"/>
    <col min="10252" max="10252" width="20.69140625" style="56" customWidth="1"/>
    <col min="10253" max="10253" width="1.69140625" style="56" customWidth="1"/>
    <col min="10254" max="10254" width="41.53515625" style="56" customWidth="1"/>
    <col min="10255" max="10255" width="11.53515625" style="56" customWidth="1"/>
    <col min="10256" max="10256" width="23" style="56" customWidth="1"/>
    <col min="10257" max="10260" width="18.69140625" style="56" customWidth="1"/>
    <col min="10261" max="10261" width="1.69140625" style="56" customWidth="1"/>
    <col min="10262" max="10487" width="9.15234375" style="56"/>
    <col min="10488" max="10488" width="40" style="56" customWidth="1"/>
    <col min="10489" max="10489" width="11.53515625" style="56" customWidth="1"/>
    <col min="10490" max="10490" width="24" style="56" customWidth="1"/>
    <col min="10491" max="10494" width="15.84375" style="56" customWidth="1"/>
    <col min="10495" max="10495" width="1.69140625" style="56" customWidth="1"/>
    <col min="10496" max="10497" width="26" style="56" customWidth="1"/>
    <col min="10498" max="10498" width="1.69140625" style="56" customWidth="1"/>
    <col min="10499" max="10501" width="18.69140625" style="56" customWidth="1"/>
    <col min="10502" max="10502" width="1.69140625" style="56" customWidth="1"/>
    <col min="10503" max="10503" width="25.3828125" style="56" customWidth="1"/>
    <col min="10504" max="10504" width="20.69140625" style="56" customWidth="1"/>
    <col min="10505" max="10505" width="1.69140625" style="56" customWidth="1"/>
    <col min="10506" max="10507" width="25.3828125" style="56" customWidth="1"/>
    <col min="10508" max="10508" width="20.69140625" style="56" customWidth="1"/>
    <col min="10509" max="10509" width="1.69140625" style="56" customWidth="1"/>
    <col min="10510" max="10510" width="41.53515625" style="56" customWidth="1"/>
    <col min="10511" max="10511" width="11.53515625" style="56" customWidth="1"/>
    <col min="10512" max="10512" width="23" style="56" customWidth="1"/>
    <col min="10513" max="10516" width="18.69140625" style="56" customWidth="1"/>
    <col min="10517" max="10517" width="1.69140625" style="56" customWidth="1"/>
    <col min="10518" max="10743" width="9.15234375" style="56"/>
    <col min="10744" max="10744" width="40" style="56" customWidth="1"/>
    <col min="10745" max="10745" width="11.53515625" style="56" customWidth="1"/>
    <col min="10746" max="10746" width="24" style="56" customWidth="1"/>
    <col min="10747" max="10750" width="15.84375" style="56" customWidth="1"/>
    <col min="10751" max="10751" width="1.69140625" style="56" customWidth="1"/>
    <col min="10752" max="10753" width="26" style="56" customWidth="1"/>
    <col min="10754" max="10754" width="1.69140625" style="56" customWidth="1"/>
    <col min="10755" max="10757" width="18.69140625" style="56" customWidth="1"/>
    <col min="10758" max="10758" width="1.69140625" style="56" customWidth="1"/>
    <col min="10759" max="10759" width="25.3828125" style="56" customWidth="1"/>
    <col min="10760" max="10760" width="20.69140625" style="56" customWidth="1"/>
    <col min="10761" max="10761" width="1.69140625" style="56" customWidth="1"/>
    <col min="10762" max="10763" width="25.3828125" style="56" customWidth="1"/>
    <col min="10764" max="10764" width="20.69140625" style="56" customWidth="1"/>
    <col min="10765" max="10765" width="1.69140625" style="56" customWidth="1"/>
    <col min="10766" max="10766" width="41.53515625" style="56" customWidth="1"/>
    <col min="10767" max="10767" width="11.53515625" style="56" customWidth="1"/>
    <col min="10768" max="10768" width="23" style="56" customWidth="1"/>
    <col min="10769" max="10772" width="18.69140625" style="56" customWidth="1"/>
    <col min="10773" max="10773" width="1.69140625" style="56" customWidth="1"/>
    <col min="10774" max="10999" width="9.15234375" style="56"/>
    <col min="11000" max="11000" width="40" style="56" customWidth="1"/>
    <col min="11001" max="11001" width="11.53515625" style="56" customWidth="1"/>
    <col min="11002" max="11002" width="24" style="56" customWidth="1"/>
    <col min="11003" max="11006" width="15.84375" style="56" customWidth="1"/>
    <col min="11007" max="11007" width="1.69140625" style="56" customWidth="1"/>
    <col min="11008" max="11009" width="26" style="56" customWidth="1"/>
    <col min="11010" max="11010" width="1.69140625" style="56" customWidth="1"/>
    <col min="11011" max="11013" width="18.69140625" style="56" customWidth="1"/>
    <col min="11014" max="11014" width="1.69140625" style="56" customWidth="1"/>
    <col min="11015" max="11015" width="25.3828125" style="56" customWidth="1"/>
    <col min="11016" max="11016" width="20.69140625" style="56" customWidth="1"/>
    <col min="11017" max="11017" width="1.69140625" style="56" customWidth="1"/>
    <col min="11018" max="11019" width="25.3828125" style="56" customWidth="1"/>
    <col min="11020" max="11020" width="20.69140625" style="56" customWidth="1"/>
    <col min="11021" max="11021" width="1.69140625" style="56" customWidth="1"/>
    <col min="11022" max="11022" width="41.53515625" style="56" customWidth="1"/>
    <col min="11023" max="11023" width="11.53515625" style="56" customWidth="1"/>
    <col min="11024" max="11024" width="23" style="56" customWidth="1"/>
    <col min="11025" max="11028" width="18.69140625" style="56" customWidth="1"/>
    <col min="11029" max="11029" width="1.69140625" style="56" customWidth="1"/>
    <col min="11030" max="11255" width="9.15234375" style="56"/>
    <col min="11256" max="11256" width="40" style="56" customWidth="1"/>
    <col min="11257" max="11257" width="11.53515625" style="56" customWidth="1"/>
    <col min="11258" max="11258" width="24" style="56" customWidth="1"/>
    <col min="11259" max="11262" width="15.84375" style="56" customWidth="1"/>
    <col min="11263" max="11263" width="1.69140625" style="56" customWidth="1"/>
    <col min="11264" max="11265" width="26" style="56" customWidth="1"/>
    <col min="11266" max="11266" width="1.69140625" style="56" customWidth="1"/>
    <col min="11267" max="11269" width="18.69140625" style="56" customWidth="1"/>
    <col min="11270" max="11270" width="1.69140625" style="56" customWidth="1"/>
    <col min="11271" max="11271" width="25.3828125" style="56" customWidth="1"/>
    <col min="11272" max="11272" width="20.69140625" style="56" customWidth="1"/>
    <col min="11273" max="11273" width="1.69140625" style="56" customWidth="1"/>
    <col min="11274" max="11275" width="25.3828125" style="56" customWidth="1"/>
    <col min="11276" max="11276" width="20.69140625" style="56" customWidth="1"/>
    <col min="11277" max="11277" width="1.69140625" style="56" customWidth="1"/>
    <col min="11278" max="11278" width="41.53515625" style="56" customWidth="1"/>
    <col min="11279" max="11279" width="11.53515625" style="56" customWidth="1"/>
    <col min="11280" max="11280" width="23" style="56" customWidth="1"/>
    <col min="11281" max="11284" width="18.69140625" style="56" customWidth="1"/>
    <col min="11285" max="11285" width="1.69140625" style="56" customWidth="1"/>
    <col min="11286" max="11511" width="9.15234375" style="56"/>
    <col min="11512" max="11512" width="40" style="56" customWidth="1"/>
    <col min="11513" max="11513" width="11.53515625" style="56" customWidth="1"/>
    <col min="11514" max="11514" width="24" style="56" customWidth="1"/>
    <col min="11515" max="11518" width="15.84375" style="56" customWidth="1"/>
    <col min="11519" max="11519" width="1.69140625" style="56" customWidth="1"/>
    <col min="11520" max="11521" width="26" style="56" customWidth="1"/>
    <col min="11522" max="11522" width="1.69140625" style="56" customWidth="1"/>
    <col min="11523" max="11525" width="18.69140625" style="56" customWidth="1"/>
    <col min="11526" max="11526" width="1.69140625" style="56" customWidth="1"/>
    <col min="11527" max="11527" width="25.3828125" style="56" customWidth="1"/>
    <col min="11528" max="11528" width="20.69140625" style="56" customWidth="1"/>
    <col min="11529" max="11529" width="1.69140625" style="56" customWidth="1"/>
    <col min="11530" max="11531" width="25.3828125" style="56" customWidth="1"/>
    <col min="11532" max="11532" width="20.69140625" style="56" customWidth="1"/>
    <col min="11533" max="11533" width="1.69140625" style="56" customWidth="1"/>
    <col min="11534" max="11534" width="41.53515625" style="56" customWidth="1"/>
    <col min="11535" max="11535" width="11.53515625" style="56" customWidth="1"/>
    <col min="11536" max="11536" width="23" style="56" customWidth="1"/>
    <col min="11537" max="11540" width="18.69140625" style="56" customWidth="1"/>
    <col min="11541" max="11541" width="1.69140625" style="56" customWidth="1"/>
    <col min="11542" max="11767" width="9.15234375" style="56"/>
    <col min="11768" max="11768" width="40" style="56" customWidth="1"/>
    <col min="11769" max="11769" width="11.53515625" style="56" customWidth="1"/>
    <col min="11770" max="11770" width="24" style="56" customWidth="1"/>
    <col min="11771" max="11774" width="15.84375" style="56" customWidth="1"/>
    <col min="11775" max="11775" width="1.69140625" style="56" customWidth="1"/>
    <col min="11776" max="11777" width="26" style="56" customWidth="1"/>
    <col min="11778" max="11778" width="1.69140625" style="56" customWidth="1"/>
    <col min="11779" max="11781" width="18.69140625" style="56" customWidth="1"/>
    <col min="11782" max="11782" width="1.69140625" style="56" customWidth="1"/>
    <col min="11783" max="11783" width="25.3828125" style="56" customWidth="1"/>
    <col min="11784" max="11784" width="20.69140625" style="56" customWidth="1"/>
    <col min="11785" max="11785" width="1.69140625" style="56" customWidth="1"/>
    <col min="11786" max="11787" width="25.3828125" style="56" customWidth="1"/>
    <col min="11788" max="11788" width="20.69140625" style="56" customWidth="1"/>
    <col min="11789" max="11789" width="1.69140625" style="56" customWidth="1"/>
    <col min="11790" max="11790" width="41.53515625" style="56" customWidth="1"/>
    <col min="11791" max="11791" width="11.53515625" style="56" customWidth="1"/>
    <col min="11792" max="11792" width="23" style="56" customWidth="1"/>
    <col min="11793" max="11796" width="18.69140625" style="56" customWidth="1"/>
    <col min="11797" max="11797" width="1.69140625" style="56" customWidth="1"/>
    <col min="11798" max="12023" width="9.15234375" style="56"/>
    <col min="12024" max="12024" width="40" style="56" customWidth="1"/>
    <col min="12025" max="12025" width="11.53515625" style="56" customWidth="1"/>
    <col min="12026" max="12026" width="24" style="56" customWidth="1"/>
    <col min="12027" max="12030" width="15.84375" style="56" customWidth="1"/>
    <col min="12031" max="12031" width="1.69140625" style="56" customWidth="1"/>
    <col min="12032" max="12033" width="26" style="56" customWidth="1"/>
    <col min="12034" max="12034" width="1.69140625" style="56" customWidth="1"/>
    <col min="12035" max="12037" width="18.69140625" style="56" customWidth="1"/>
    <col min="12038" max="12038" width="1.69140625" style="56" customWidth="1"/>
    <col min="12039" max="12039" width="25.3828125" style="56" customWidth="1"/>
    <col min="12040" max="12040" width="20.69140625" style="56" customWidth="1"/>
    <col min="12041" max="12041" width="1.69140625" style="56" customWidth="1"/>
    <col min="12042" max="12043" width="25.3828125" style="56" customWidth="1"/>
    <col min="12044" max="12044" width="20.69140625" style="56" customWidth="1"/>
    <col min="12045" max="12045" width="1.69140625" style="56" customWidth="1"/>
    <col min="12046" max="12046" width="41.53515625" style="56" customWidth="1"/>
    <col min="12047" max="12047" width="11.53515625" style="56" customWidth="1"/>
    <col min="12048" max="12048" width="23" style="56" customWidth="1"/>
    <col min="12049" max="12052" width="18.69140625" style="56" customWidth="1"/>
    <col min="12053" max="12053" width="1.69140625" style="56" customWidth="1"/>
    <col min="12054" max="12279" width="9.15234375" style="56"/>
    <col min="12280" max="12280" width="40" style="56" customWidth="1"/>
    <col min="12281" max="12281" width="11.53515625" style="56" customWidth="1"/>
    <col min="12282" max="12282" width="24" style="56" customWidth="1"/>
    <col min="12283" max="12286" width="15.84375" style="56" customWidth="1"/>
    <col min="12287" max="12287" width="1.69140625" style="56" customWidth="1"/>
    <col min="12288" max="12289" width="26" style="56" customWidth="1"/>
    <col min="12290" max="12290" width="1.69140625" style="56" customWidth="1"/>
    <col min="12291" max="12293" width="18.69140625" style="56" customWidth="1"/>
    <col min="12294" max="12294" width="1.69140625" style="56" customWidth="1"/>
    <col min="12295" max="12295" width="25.3828125" style="56" customWidth="1"/>
    <col min="12296" max="12296" width="20.69140625" style="56" customWidth="1"/>
    <col min="12297" max="12297" width="1.69140625" style="56" customWidth="1"/>
    <col min="12298" max="12299" width="25.3828125" style="56" customWidth="1"/>
    <col min="12300" max="12300" width="20.69140625" style="56" customWidth="1"/>
    <col min="12301" max="12301" width="1.69140625" style="56" customWidth="1"/>
    <col min="12302" max="12302" width="41.53515625" style="56" customWidth="1"/>
    <col min="12303" max="12303" width="11.53515625" style="56" customWidth="1"/>
    <col min="12304" max="12304" width="23" style="56" customWidth="1"/>
    <col min="12305" max="12308" width="18.69140625" style="56" customWidth="1"/>
    <col min="12309" max="12309" width="1.69140625" style="56" customWidth="1"/>
    <col min="12310" max="12535" width="9.15234375" style="56"/>
    <col min="12536" max="12536" width="40" style="56" customWidth="1"/>
    <col min="12537" max="12537" width="11.53515625" style="56" customWidth="1"/>
    <col min="12538" max="12538" width="24" style="56" customWidth="1"/>
    <col min="12539" max="12542" width="15.84375" style="56" customWidth="1"/>
    <col min="12543" max="12543" width="1.69140625" style="56" customWidth="1"/>
    <col min="12544" max="12545" width="26" style="56" customWidth="1"/>
    <col min="12546" max="12546" width="1.69140625" style="56" customWidth="1"/>
    <col min="12547" max="12549" width="18.69140625" style="56" customWidth="1"/>
    <col min="12550" max="12550" width="1.69140625" style="56" customWidth="1"/>
    <col min="12551" max="12551" width="25.3828125" style="56" customWidth="1"/>
    <col min="12552" max="12552" width="20.69140625" style="56" customWidth="1"/>
    <col min="12553" max="12553" width="1.69140625" style="56" customWidth="1"/>
    <col min="12554" max="12555" width="25.3828125" style="56" customWidth="1"/>
    <col min="12556" max="12556" width="20.69140625" style="56" customWidth="1"/>
    <col min="12557" max="12557" width="1.69140625" style="56" customWidth="1"/>
    <col min="12558" max="12558" width="41.53515625" style="56" customWidth="1"/>
    <col min="12559" max="12559" width="11.53515625" style="56" customWidth="1"/>
    <col min="12560" max="12560" width="23" style="56" customWidth="1"/>
    <col min="12561" max="12564" width="18.69140625" style="56" customWidth="1"/>
    <col min="12565" max="12565" width="1.69140625" style="56" customWidth="1"/>
    <col min="12566" max="12791" width="9.15234375" style="56"/>
    <col min="12792" max="12792" width="40" style="56" customWidth="1"/>
    <col min="12793" max="12793" width="11.53515625" style="56" customWidth="1"/>
    <col min="12794" max="12794" width="24" style="56" customWidth="1"/>
    <col min="12795" max="12798" width="15.84375" style="56" customWidth="1"/>
    <col min="12799" max="12799" width="1.69140625" style="56" customWidth="1"/>
    <col min="12800" max="12801" width="26" style="56" customWidth="1"/>
    <col min="12802" max="12802" width="1.69140625" style="56" customWidth="1"/>
    <col min="12803" max="12805" width="18.69140625" style="56" customWidth="1"/>
    <col min="12806" max="12806" width="1.69140625" style="56" customWidth="1"/>
    <col min="12807" max="12807" width="25.3828125" style="56" customWidth="1"/>
    <col min="12808" max="12808" width="20.69140625" style="56" customWidth="1"/>
    <col min="12809" max="12809" width="1.69140625" style="56" customWidth="1"/>
    <col min="12810" max="12811" width="25.3828125" style="56" customWidth="1"/>
    <col min="12812" max="12812" width="20.69140625" style="56" customWidth="1"/>
    <col min="12813" max="12813" width="1.69140625" style="56" customWidth="1"/>
    <col min="12814" max="12814" width="41.53515625" style="56" customWidth="1"/>
    <col min="12815" max="12815" width="11.53515625" style="56" customWidth="1"/>
    <col min="12816" max="12816" width="23" style="56" customWidth="1"/>
    <col min="12817" max="12820" width="18.69140625" style="56" customWidth="1"/>
    <col min="12821" max="12821" width="1.69140625" style="56" customWidth="1"/>
    <col min="12822" max="13047" width="9.15234375" style="56"/>
    <col min="13048" max="13048" width="40" style="56" customWidth="1"/>
    <col min="13049" max="13049" width="11.53515625" style="56" customWidth="1"/>
    <col min="13050" max="13050" width="24" style="56" customWidth="1"/>
    <col min="13051" max="13054" width="15.84375" style="56" customWidth="1"/>
    <col min="13055" max="13055" width="1.69140625" style="56" customWidth="1"/>
    <col min="13056" max="13057" width="26" style="56" customWidth="1"/>
    <col min="13058" max="13058" width="1.69140625" style="56" customWidth="1"/>
    <col min="13059" max="13061" width="18.69140625" style="56" customWidth="1"/>
    <col min="13062" max="13062" width="1.69140625" style="56" customWidth="1"/>
    <col min="13063" max="13063" width="25.3828125" style="56" customWidth="1"/>
    <col min="13064" max="13064" width="20.69140625" style="56" customWidth="1"/>
    <col min="13065" max="13065" width="1.69140625" style="56" customWidth="1"/>
    <col min="13066" max="13067" width="25.3828125" style="56" customWidth="1"/>
    <col min="13068" max="13068" width="20.69140625" style="56" customWidth="1"/>
    <col min="13069" max="13069" width="1.69140625" style="56" customWidth="1"/>
    <col min="13070" max="13070" width="41.53515625" style="56" customWidth="1"/>
    <col min="13071" max="13071" width="11.53515625" style="56" customWidth="1"/>
    <col min="13072" max="13072" width="23" style="56" customWidth="1"/>
    <col min="13073" max="13076" width="18.69140625" style="56" customWidth="1"/>
    <col min="13077" max="13077" width="1.69140625" style="56" customWidth="1"/>
    <col min="13078" max="13303" width="9.15234375" style="56"/>
    <col min="13304" max="13304" width="40" style="56" customWidth="1"/>
    <col min="13305" max="13305" width="11.53515625" style="56" customWidth="1"/>
    <col min="13306" max="13306" width="24" style="56" customWidth="1"/>
    <col min="13307" max="13310" width="15.84375" style="56" customWidth="1"/>
    <col min="13311" max="13311" width="1.69140625" style="56" customWidth="1"/>
    <col min="13312" max="13313" width="26" style="56" customWidth="1"/>
    <col min="13314" max="13314" width="1.69140625" style="56" customWidth="1"/>
    <col min="13315" max="13317" width="18.69140625" style="56" customWidth="1"/>
    <col min="13318" max="13318" width="1.69140625" style="56" customWidth="1"/>
    <col min="13319" max="13319" width="25.3828125" style="56" customWidth="1"/>
    <col min="13320" max="13320" width="20.69140625" style="56" customWidth="1"/>
    <col min="13321" max="13321" width="1.69140625" style="56" customWidth="1"/>
    <col min="13322" max="13323" width="25.3828125" style="56" customWidth="1"/>
    <col min="13324" max="13324" width="20.69140625" style="56" customWidth="1"/>
    <col min="13325" max="13325" width="1.69140625" style="56" customWidth="1"/>
    <col min="13326" max="13326" width="41.53515625" style="56" customWidth="1"/>
    <col min="13327" max="13327" width="11.53515625" style="56" customWidth="1"/>
    <col min="13328" max="13328" width="23" style="56" customWidth="1"/>
    <col min="13329" max="13332" width="18.69140625" style="56" customWidth="1"/>
    <col min="13333" max="13333" width="1.69140625" style="56" customWidth="1"/>
    <col min="13334" max="13559" width="9.15234375" style="56"/>
    <col min="13560" max="13560" width="40" style="56" customWidth="1"/>
    <col min="13561" max="13561" width="11.53515625" style="56" customWidth="1"/>
    <col min="13562" max="13562" width="24" style="56" customWidth="1"/>
    <col min="13563" max="13566" width="15.84375" style="56" customWidth="1"/>
    <col min="13567" max="13567" width="1.69140625" style="56" customWidth="1"/>
    <col min="13568" max="13569" width="26" style="56" customWidth="1"/>
    <col min="13570" max="13570" width="1.69140625" style="56" customWidth="1"/>
    <col min="13571" max="13573" width="18.69140625" style="56" customWidth="1"/>
    <col min="13574" max="13574" width="1.69140625" style="56" customWidth="1"/>
    <col min="13575" max="13575" width="25.3828125" style="56" customWidth="1"/>
    <col min="13576" max="13576" width="20.69140625" style="56" customWidth="1"/>
    <col min="13577" max="13577" width="1.69140625" style="56" customWidth="1"/>
    <col min="13578" max="13579" width="25.3828125" style="56" customWidth="1"/>
    <col min="13580" max="13580" width="20.69140625" style="56" customWidth="1"/>
    <col min="13581" max="13581" width="1.69140625" style="56" customWidth="1"/>
    <col min="13582" max="13582" width="41.53515625" style="56" customWidth="1"/>
    <col min="13583" max="13583" width="11.53515625" style="56" customWidth="1"/>
    <col min="13584" max="13584" width="23" style="56" customWidth="1"/>
    <col min="13585" max="13588" width="18.69140625" style="56" customWidth="1"/>
    <col min="13589" max="13589" width="1.69140625" style="56" customWidth="1"/>
    <col min="13590" max="13815" width="9.15234375" style="56"/>
    <col min="13816" max="13816" width="40" style="56" customWidth="1"/>
    <col min="13817" max="13817" width="11.53515625" style="56" customWidth="1"/>
    <col min="13818" max="13818" width="24" style="56" customWidth="1"/>
    <col min="13819" max="13822" width="15.84375" style="56" customWidth="1"/>
    <col min="13823" max="13823" width="1.69140625" style="56" customWidth="1"/>
    <col min="13824" max="13825" width="26" style="56" customWidth="1"/>
    <col min="13826" max="13826" width="1.69140625" style="56" customWidth="1"/>
    <col min="13827" max="13829" width="18.69140625" style="56" customWidth="1"/>
    <col min="13830" max="13830" width="1.69140625" style="56" customWidth="1"/>
    <col min="13831" max="13831" width="25.3828125" style="56" customWidth="1"/>
    <col min="13832" max="13832" width="20.69140625" style="56" customWidth="1"/>
    <col min="13833" max="13833" width="1.69140625" style="56" customWidth="1"/>
    <col min="13834" max="13835" width="25.3828125" style="56" customWidth="1"/>
    <col min="13836" max="13836" width="20.69140625" style="56" customWidth="1"/>
    <col min="13837" max="13837" width="1.69140625" style="56" customWidth="1"/>
    <col min="13838" max="13838" width="41.53515625" style="56" customWidth="1"/>
    <col min="13839" max="13839" width="11.53515625" style="56" customWidth="1"/>
    <col min="13840" max="13840" width="23" style="56" customWidth="1"/>
    <col min="13841" max="13844" width="18.69140625" style="56" customWidth="1"/>
    <col min="13845" max="13845" width="1.69140625" style="56" customWidth="1"/>
    <col min="13846" max="14071" width="9.15234375" style="56"/>
    <col min="14072" max="14072" width="40" style="56" customWidth="1"/>
    <col min="14073" max="14073" width="11.53515625" style="56" customWidth="1"/>
    <col min="14074" max="14074" width="24" style="56" customWidth="1"/>
    <col min="14075" max="14078" width="15.84375" style="56" customWidth="1"/>
    <col min="14079" max="14079" width="1.69140625" style="56" customWidth="1"/>
    <col min="14080" max="14081" width="26" style="56" customWidth="1"/>
    <col min="14082" max="14082" width="1.69140625" style="56" customWidth="1"/>
    <col min="14083" max="14085" width="18.69140625" style="56" customWidth="1"/>
    <col min="14086" max="14086" width="1.69140625" style="56" customWidth="1"/>
    <col min="14087" max="14087" width="25.3828125" style="56" customWidth="1"/>
    <col min="14088" max="14088" width="20.69140625" style="56" customWidth="1"/>
    <col min="14089" max="14089" width="1.69140625" style="56" customWidth="1"/>
    <col min="14090" max="14091" width="25.3828125" style="56" customWidth="1"/>
    <col min="14092" max="14092" width="20.69140625" style="56" customWidth="1"/>
    <col min="14093" max="14093" width="1.69140625" style="56" customWidth="1"/>
    <col min="14094" max="14094" width="41.53515625" style="56" customWidth="1"/>
    <col min="14095" max="14095" width="11.53515625" style="56" customWidth="1"/>
    <col min="14096" max="14096" width="23" style="56" customWidth="1"/>
    <col min="14097" max="14100" width="18.69140625" style="56" customWidth="1"/>
    <col min="14101" max="14101" width="1.69140625" style="56" customWidth="1"/>
    <col min="14102" max="14327" width="9.15234375" style="56"/>
    <col min="14328" max="14328" width="40" style="56" customWidth="1"/>
    <col min="14329" max="14329" width="11.53515625" style="56" customWidth="1"/>
    <col min="14330" max="14330" width="24" style="56" customWidth="1"/>
    <col min="14331" max="14334" width="15.84375" style="56" customWidth="1"/>
    <col min="14335" max="14335" width="1.69140625" style="56" customWidth="1"/>
    <col min="14336" max="14337" width="26" style="56" customWidth="1"/>
    <col min="14338" max="14338" width="1.69140625" style="56" customWidth="1"/>
    <col min="14339" max="14341" width="18.69140625" style="56" customWidth="1"/>
    <col min="14342" max="14342" width="1.69140625" style="56" customWidth="1"/>
    <col min="14343" max="14343" width="25.3828125" style="56" customWidth="1"/>
    <col min="14344" max="14344" width="20.69140625" style="56" customWidth="1"/>
    <col min="14345" max="14345" width="1.69140625" style="56" customWidth="1"/>
    <col min="14346" max="14347" width="25.3828125" style="56" customWidth="1"/>
    <col min="14348" max="14348" width="20.69140625" style="56" customWidth="1"/>
    <col min="14349" max="14349" width="1.69140625" style="56" customWidth="1"/>
    <col min="14350" max="14350" width="41.53515625" style="56" customWidth="1"/>
    <col min="14351" max="14351" width="11.53515625" style="56" customWidth="1"/>
    <col min="14352" max="14352" width="23" style="56" customWidth="1"/>
    <col min="14353" max="14356" width="18.69140625" style="56" customWidth="1"/>
    <col min="14357" max="14357" width="1.69140625" style="56" customWidth="1"/>
    <col min="14358" max="14583" width="9.15234375" style="56"/>
    <col min="14584" max="14584" width="40" style="56" customWidth="1"/>
    <col min="14585" max="14585" width="11.53515625" style="56" customWidth="1"/>
    <col min="14586" max="14586" width="24" style="56" customWidth="1"/>
    <col min="14587" max="14590" width="15.84375" style="56" customWidth="1"/>
    <col min="14591" max="14591" width="1.69140625" style="56" customWidth="1"/>
    <col min="14592" max="14593" width="26" style="56" customWidth="1"/>
    <col min="14594" max="14594" width="1.69140625" style="56" customWidth="1"/>
    <col min="14595" max="14597" width="18.69140625" style="56" customWidth="1"/>
    <col min="14598" max="14598" width="1.69140625" style="56" customWidth="1"/>
    <col min="14599" max="14599" width="25.3828125" style="56" customWidth="1"/>
    <col min="14600" max="14600" width="20.69140625" style="56" customWidth="1"/>
    <col min="14601" max="14601" width="1.69140625" style="56" customWidth="1"/>
    <col min="14602" max="14603" width="25.3828125" style="56" customWidth="1"/>
    <col min="14604" max="14604" width="20.69140625" style="56" customWidth="1"/>
    <col min="14605" max="14605" width="1.69140625" style="56" customWidth="1"/>
    <col min="14606" max="14606" width="41.53515625" style="56" customWidth="1"/>
    <col min="14607" max="14607" width="11.53515625" style="56" customWidth="1"/>
    <col min="14608" max="14608" width="23" style="56" customWidth="1"/>
    <col min="14609" max="14612" width="18.69140625" style="56" customWidth="1"/>
    <col min="14613" max="14613" width="1.69140625" style="56" customWidth="1"/>
    <col min="14614" max="14839" width="9.15234375" style="56"/>
    <col min="14840" max="14840" width="40" style="56" customWidth="1"/>
    <col min="14841" max="14841" width="11.53515625" style="56" customWidth="1"/>
    <col min="14842" max="14842" width="24" style="56" customWidth="1"/>
    <col min="14843" max="14846" width="15.84375" style="56" customWidth="1"/>
    <col min="14847" max="14847" width="1.69140625" style="56" customWidth="1"/>
    <col min="14848" max="14849" width="26" style="56" customWidth="1"/>
    <col min="14850" max="14850" width="1.69140625" style="56" customWidth="1"/>
    <col min="14851" max="14853" width="18.69140625" style="56" customWidth="1"/>
    <col min="14854" max="14854" width="1.69140625" style="56" customWidth="1"/>
    <col min="14855" max="14855" width="25.3828125" style="56" customWidth="1"/>
    <col min="14856" max="14856" width="20.69140625" style="56" customWidth="1"/>
    <col min="14857" max="14857" width="1.69140625" style="56" customWidth="1"/>
    <col min="14858" max="14859" width="25.3828125" style="56" customWidth="1"/>
    <col min="14860" max="14860" width="20.69140625" style="56" customWidth="1"/>
    <col min="14861" max="14861" width="1.69140625" style="56" customWidth="1"/>
    <col min="14862" max="14862" width="41.53515625" style="56" customWidth="1"/>
    <col min="14863" max="14863" width="11.53515625" style="56" customWidth="1"/>
    <col min="14864" max="14864" width="23" style="56" customWidth="1"/>
    <col min="14865" max="14868" width="18.69140625" style="56" customWidth="1"/>
    <col min="14869" max="14869" width="1.69140625" style="56" customWidth="1"/>
    <col min="14870" max="15095" width="9.15234375" style="56"/>
    <col min="15096" max="15096" width="40" style="56" customWidth="1"/>
    <col min="15097" max="15097" width="11.53515625" style="56" customWidth="1"/>
    <col min="15098" max="15098" width="24" style="56" customWidth="1"/>
    <col min="15099" max="15102" width="15.84375" style="56" customWidth="1"/>
    <col min="15103" max="15103" width="1.69140625" style="56" customWidth="1"/>
    <col min="15104" max="15105" width="26" style="56" customWidth="1"/>
    <col min="15106" max="15106" width="1.69140625" style="56" customWidth="1"/>
    <col min="15107" max="15109" width="18.69140625" style="56" customWidth="1"/>
    <col min="15110" max="15110" width="1.69140625" style="56" customWidth="1"/>
    <col min="15111" max="15111" width="25.3828125" style="56" customWidth="1"/>
    <col min="15112" max="15112" width="20.69140625" style="56" customWidth="1"/>
    <col min="15113" max="15113" width="1.69140625" style="56" customWidth="1"/>
    <col min="15114" max="15115" width="25.3828125" style="56" customWidth="1"/>
    <col min="15116" max="15116" width="20.69140625" style="56" customWidth="1"/>
    <col min="15117" max="15117" width="1.69140625" style="56" customWidth="1"/>
    <col min="15118" max="15118" width="41.53515625" style="56" customWidth="1"/>
    <col min="15119" max="15119" width="11.53515625" style="56" customWidth="1"/>
    <col min="15120" max="15120" width="23" style="56" customWidth="1"/>
    <col min="15121" max="15124" width="18.69140625" style="56" customWidth="1"/>
    <col min="15125" max="15125" width="1.69140625" style="56" customWidth="1"/>
    <col min="15126" max="15351" width="9.15234375" style="56"/>
    <col min="15352" max="15352" width="40" style="56" customWidth="1"/>
    <col min="15353" max="15353" width="11.53515625" style="56" customWidth="1"/>
    <col min="15354" max="15354" width="24" style="56" customWidth="1"/>
    <col min="15355" max="15358" width="15.84375" style="56" customWidth="1"/>
    <col min="15359" max="15359" width="1.69140625" style="56" customWidth="1"/>
    <col min="15360" max="15361" width="26" style="56" customWidth="1"/>
    <col min="15362" max="15362" width="1.69140625" style="56" customWidth="1"/>
    <col min="15363" max="15365" width="18.69140625" style="56" customWidth="1"/>
    <col min="15366" max="15366" width="1.69140625" style="56" customWidth="1"/>
    <col min="15367" max="15367" width="25.3828125" style="56" customWidth="1"/>
    <col min="15368" max="15368" width="20.69140625" style="56" customWidth="1"/>
    <col min="15369" max="15369" width="1.69140625" style="56" customWidth="1"/>
    <col min="15370" max="15371" width="25.3828125" style="56" customWidth="1"/>
    <col min="15372" max="15372" width="20.69140625" style="56" customWidth="1"/>
    <col min="15373" max="15373" width="1.69140625" style="56" customWidth="1"/>
    <col min="15374" max="15374" width="41.53515625" style="56" customWidth="1"/>
    <col min="15375" max="15375" width="11.53515625" style="56" customWidth="1"/>
    <col min="15376" max="15376" width="23" style="56" customWidth="1"/>
    <col min="15377" max="15380" width="18.69140625" style="56" customWidth="1"/>
    <col min="15381" max="15381" width="1.69140625" style="56" customWidth="1"/>
    <col min="15382" max="15607" width="9.15234375" style="56"/>
    <col min="15608" max="15608" width="40" style="56" customWidth="1"/>
    <col min="15609" max="15609" width="11.53515625" style="56" customWidth="1"/>
    <col min="15610" max="15610" width="24" style="56" customWidth="1"/>
    <col min="15611" max="15614" width="15.84375" style="56" customWidth="1"/>
    <col min="15615" max="15615" width="1.69140625" style="56" customWidth="1"/>
    <col min="15616" max="15617" width="26" style="56" customWidth="1"/>
    <col min="15618" max="15618" width="1.69140625" style="56" customWidth="1"/>
    <col min="15619" max="15621" width="18.69140625" style="56" customWidth="1"/>
    <col min="15622" max="15622" width="1.69140625" style="56" customWidth="1"/>
    <col min="15623" max="15623" width="25.3828125" style="56" customWidth="1"/>
    <col min="15624" max="15624" width="20.69140625" style="56" customWidth="1"/>
    <col min="15625" max="15625" width="1.69140625" style="56" customWidth="1"/>
    <col min="15626" max="15627" width="25.3828125" style="56" customWidth="1"/>
    <col min="15628" max="15628" width="20.69140625" style="56" customWidth="1"/>
    <col min="15629" max="15629" width="1.69140625" style="56" customWidth="1"/>
    <col min="15630" max="15630" width="41.53515625" style="56" customWidth="1"/>
    <col min="15631" max="15631" width="11.53515625" style="56" customWidth="1"/>
    <col min="15632" max="15632" width="23" style="56" customWidth="1"/>
    <col min="15633" max="15636" width="18.69140625" style="56" customWidth="1"/>
    <col min="15637" max="15637" width="1.69140625" style="56" customWidth="1"/>
    <col min="15638" max="15863" width="9.15234375" style="56"/>
    <col min="15864" max="15864" width="40" style="56" customWidth="1"/>
    <col min="15865" max="15865" width="11.53515625" style="56" customWidth="1"/>
    <col min="15866" max="15866" width="24" style="56" customWidth="1"/>
    <col min="15867" max="15870" width="15.84375" style="56" customWidth="1"/>
    <col min="15871" max="15871" width="1.69140625" style="56" customWidth="1"/>
    <col min="15872" max="15873" width="26" style="56" customWidth="1"/>
    <col min="15874" max="15874" width="1.69140625" style="56" customWidth="1"/>
    <col min="15875" max="15877" width="18.69140625" style="56" customWidth="1"/>
    <col min="15878" max="15878" width="1.69140625" style="56" customWidth="1"/>
    <col min="15879" max="15879" width="25.3828125" style="56" customWidth="1"/>
    <col min="15880" max="15880" width="20.69140625" style="56" customWidth="1"/>
    <col min="15881" max="15881" width="1.69140625" style="56" customWidth="1"/>
    <col min="15882" max="15883" width="25.3828125" style="56" customWidth="1"/>
    <col min="15884" max="15884" width="20.69140625" style="56" customWidth="1"/>
    <col min="15885" max="15885" width="1.69140625" style="56" customWidth="1"/>
    <col min="15886" max="15886" width="41.53515625" style="56" customWidth="1"/>
    <col min="15887" max="15887" width="11.53515625" style="56" customWidth="1"/>
    <col min="15888" max="15888" width="23" style="56" customWidth="1"/>
    <col min="15889" max="15892" width="18.69140625" style="56" customWidth="1"/>
    <col min="15893" max="15893" width="1.69140625" style="56" customWidth="1"/>
    <col min="15894" max="16119" width="9.15234375" style="56"/>
    <col min="16120" max="16120" width="40" style="56" customWidth="1"/>
    <col min="16121" max="16121" width="11.53515625" style="56" customWidth="1"/>
    <col min="16122" max="16122" width="24" style="56" customWidth="1"/>
    <col min="16123" max="16126" width="15.84375" style="56" customWidth="1"/>
    <col min="16127" max="16127" width="1.69140625" style="56" customWidth="1"/>
    <col min="16128" max="16129" width="26" style="56" customWidth="1"/>
    <col min="16130" max="16130" width="1.69140625" style="56" customWidth="1"/>
    <col min="16131" max="16133" width="18.69140625" style="56" customWidth="1"/>
    <col min="16134" max="16134" width="1.69140625" style="56" customWidth="1"/>
    <col min="16135" max="16135" width="25.3828125" style="56" customWidth="1"/>
    <col min="16136" max="16136" width="20.69140625" style="56" customWidth="1"/>
    <col min="16137" max="16137" width="1.69140625" style="56" customWidth="1"/>
    <col min="16138" max="16139" width="25.3828125" style="56" customWidth="1"/>
    <col min="16140" max="16140" width="20.69140625" style="56" customWidth="1"/>
    <col min="16141" max="16141" width="1.69140625" style="56" customWidth="1"/>
    <col min="16142" max="16142" width="41.53515625" style="56" customWidth="1"/>
    <col min="16143" max="16143" width="11.53515625" style="56" customWidth="1"/>
    <col min="16144" max="16144" width="23" style="56" customWidth="1"/>
    <col min="16145" max="16148" width="18.69140625" style="56" customWidth="1"/>
    <col min="16149" max="16149" width="1.69140625" style="56" customWidth="1"/>
    <col min="16150" max="16384" width="9.15234375" style="56"/>
  </cols>
  <sheetData>
    <row r="1" spans="2:21" s="53" customFormat="1" ht="81.75" customHeight="1" x14ac:dyDescent="0.4">
      <c r="B1" s="200" t="s">
        <v>359</v>
      </c>
      <c r="C1" s="201"/>
      <c r="D1" s="201"/>
      <c r="E1" s="201"/>
      <c r="F1" s="201"/>
      <c r="G1" s="201"/>
      <c r="H1" s="201"/>
      <c r="I1" s="201"/>
      <c r="J1" s="201"/>
      <c r="K1" s="201"/>
      <c r="L1" s="201"/>
      <c r="M1" s="201"/>
      <c r="N1" s="201"/>
      <c r="O1" s="201"/>
      <c r="P1" s="201"/>
      <c r="Q1" s="201"/>
      <c r="R1" s="201"/>
      <c r="S1" s="201"/>
      <c r="T1" s="201"/>
      <c r="U1" s="201"/>
    </row>
    <row r="2" spans="2:21" ht="33" customHeight="1" x14ac:dyDescent="0.35">
      <c r="B2" s="54" t="s">
        <v>348</v>
      </c>
      <c r="C2" s="98" t="s">
        <v>357</v>
      </c>
      <c r="D2" s="97"/>
      <c r="E2" s="97"/>
      <c r="F2" s="97"/>
      <c r="G2" s="97"/>
      <c r="H2" s="97"/>
      <c r="I2" s="97"/>
      <c r="J2" s="97"/>
      <c r="K2" s="55"/>
      <c r="L2" s="55"/>
      <c r="M2" s="55"/>
      <c r="N2" s="55"/>
      <c r="O2" s="55"/>
      <c r="P2" s="55"/>
      <c r="Q2" s="55"/>
      <c r="R2" s="55"/>
      <c r="S2" s="55"/>
      <c r="T2" s="55"/>
      <c r="U2" s="55"/>
    </row>
    <row r="3" spans="2:21" ht="33" customHeight="1" x14ac:dyDescent="0.35">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4">
      <c r="B4" s="202" t="s">
        <v>225</v>
      </c>
      <c r="C4" s="202"/>
      <c r="D4" s="202"/>
      <c r="E4" s="202"/>
      <c r="F4" s="202"/>
      <c r="G4" s="202"/>
      <c r="I4" s="202" t="s">
        <v>226</v>
      </c>
      <c r="J4" s="202"/>
      <c r="L4" s="202" t="s">
        <v>227</v>
      </c>
      <c r="M4" s="202"/>
      <c r="N4" s="202"/>
      <c r="P4" s="202" t="s">
        <v>228</v>
      </c>
      <c r="Q4" s="202"/>
      <c r="S4" s="202" t="s">
        <v>229</v>
      </c>
      <c r="T4" s="202"/>
      <c r="U4" s="202"/>
    </row>
    <row r="5" spans="2:21" s="58" customFormat="1" ht="157.5" customHeight="1" x14ac:dyDescent="0.4">
      <c r="B5" s="206" t="s">
        <v>334</v>
      </c>
      <c r="C5" s="207"/>
      <c r="D5" s="207"/>
      <c r="E5" s="207"/>
      <c r="F5" s="207"/>
      <c r="G5" s="208"/>
      <c r="I5" s="206" t="s">
        <v>315</v>
      </c>
      <c r="J5" s="208"/>
      <c r="L5" s="206" t="s">
        <v>335</v>
      </c>
      <c r="M5" s="207"/>
      <c r="N5" s="208"/>
      <c r="P5" s="206" t="s">
        <v>312</v>
      </c>
      <c r="Q5" s="208"/>
      <c r="S5" s="206" t="s">
        <v>316</v>
      </c>
      <c r="T5" s="207"/>
      <c r="U5" s="208"/>
    </row>
    <row r="6" spans="2:21" s="59" customFormat="1" ht="80.25" customHeight="1" x14ac:dyDescent="0.4">
      <c r="B6" s="209"/>
      <c r="C6" s="210"/>
      <c r="D6" s="210"/>
      <c r="E6" s="210"/>
      <c r="F6" s="210"/>
      <c r="G6" s="211"/>
      <c r="I6" s="209"/>
      <c r="J6" s="211"/>
      <c r="L6" s="209"/>
      <c r="M6" s="210"/>
      <c r="N6" s="211"/>
      <c r="P6" s="209"/>
      <c r="Q6" s="211"/>
      <c r="S6" s="209"/>
      <c r="T6" s="210"/>
      <c r="U6" s="211"/>
    </row>
    <row r="7" spans="2:21" ht="82.5" customHeight="1" x14ac:dyDescent="0.35">
      <c r="B7" s="60" t="s">
        <v>0</v>
      </c>
      <c r="C7" s="60" t="s">
        <v>176</v>
      </c>
      <c r="D7" s="60" t="s">
        <v>131</v>
      </c>
      <c r="E7" s="61" t="s">
        <v>129</v>
      </c>
      <c r="F7" s="61" t="s">
        <v>314</v>
      </c>
      <c r="G7" s="61" t="s">
        <v>313</v>
      </c>
      <c r="I7" s="61" t="s">
        <v>27</v>
      </c>
      <c r="J7" s="61" t="s">
        <v>171</v>
      </c>
      <c r="L7" s="61" t="s">
        <v>215</v>
      </c>
      <c r="M7" s="61" t="s">
        <v>210</v>
      </c>
      <c r="N7" s="61" t="s">
        <v>208</v>
      </c>
      <c r="P7" s="203" t="s">
        <v>328</v>
      </c>
      <c r="Q7" s="204"/>
      <c r="S7" s="203" t="s">
        <v>329</v>
      </c>
      <c r="T7" s="205"/>
      <c r="U7" s="204"/>
    </row>
    <row r="8" spans="2:21" ht="15" customHeight="1" x14ac:dyDescent="0.35">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35">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35">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35">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35">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35">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35">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35">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35">
      <c r="B16" s="62" t="s">
        <v>34</v>
      </c>
      <c r="C16" s="62" t="s">
        <v>196</v>
      </c>
      <c r="D16" s="63">
        <v>280</v>
      </c>
      <c r="E16" s="63">
        <v>214</v>
      </c>
      <c r="F16" s="63">
        <v>162</v>
      </c>
      <c r="G16" s="63">
        <v>131</v>
      </c>
      <c r="J16" s="66"/>
      <c r="L16" s="65">
        <v>9</v>
      </c>
      <c r="M16" s="63">
        <f t="shared" si="0"/>
        <v>495</v>
      </c>
      <c r="N16" s="63">
        <f t="shared" si="1"/>
        <v>1080</v>
      </c>
      <c r="P16" s="67" t="s">
        <v>206</v>
      </c>
    </row>
    <row r="17" spans="2:16" x14ac:dyDescent="0.35">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35">
      <c r="B18" s="62" t="s">
        <v>35</v>
      </c>
      <c r="C18" s="62" t="s">
        <v>196</v>
      </c>
      <c r="D18" s="63">
        <v>280</v>
      </c>
      <c r="E18" s="63">
        <v>214</v>
      </c>
      <c r="F18" s="63">
        <v>162</v>
      </c>
      <c r="G18" s="63">
        <v>131</v>
      </c>
      <c r="L18" s="65">
        <v>11</v>
      </c>
      <c r="M18" s="63">
        <f t="shared" si="0"/>
        <v>605</v>
      </c>
      <c r="N18" s="63">
        <f t="shared" si="1"/>
        <v>1320</v>
      </c>
      <c r="P18" s="69" t="s">
        <v>210</v>
      </c>
    </row>
    <row r="19" spans="2:16" x14ac:dyDescent="0.35">
      <c r="B19" s="62" t="s">
        <v>36</v>
      </c>
      <c r="C19" s="62" t="s">
        <v>196</v>
      </c>
      <c r="D19" s="63">
        <v>280</v>
      </c>
      <c r="E19" s="63">
        <v>214</v>
      </c>
      <c r="F19" s="63">
        <v>162</v>
      </c>
      <c r="G19" s="63">
        <v>131</v>
      </c>
      <c r="L19" s="65">
        <v>12</v>
      </c>
      <c r="M19" s="63">
        <f t="shared" si="0"/>
        <v>660</v>
      </c>
      <c r="N19" s="63">
        <f t="shared" si="1"/>
        <v>1440</v>
      </c>
    </row>
    <row r="20" spans="2:16" ht="18" x14ac:dyDescent="0.35">
      <c r="B20" s="62" t="s">
        <v>41</v>
      </c>
      <c r="C20" s="62" t="s">
        <v>196</v>
      </c>
      <c r="D20" s="63">
        <v>164</v>
      </c>
      <c r="E20" s="63">
        <v>137</v>
      </c>
      <c r="F20" s="63">
        <v>102</v>
      </c>
      <c r="G20" s="63">
        <v>78</v>
      </c>
      <c r="L20" s="65">
        <v>13</v>
      </c>
      <c r="M20" s="63">
        <f t="shared" si="0"/>
        <v>715</v>
      </c>
      <c r="N20" s="63">
        <f t="shared" si="1"/>
        <v>1560</v>
      </c>
      <c r="P20" s="67" t="s">
        <v>346</v>
      </c>
    </row>
    <row r="21" spans="2:16" x14ac:dyDescent="0.35">
      <c r="B21" s="62" t="s">
        <v>48</v>
      </c>
      <c r="C21" s="62" t="s">
        <v>196</v>
      </c>
      <c r="D21" s="63">
        <v>88</v>
      </c>
      <c r="E21" s="63">
        <v>74</v>
      </c>
      <c r="F21" s="63">
        <v>55</v>
      </c>
      <c r="G21" s="63">
        <v>39</v>
      </c>
      <c r="L21" s="65">
        <v>14</v>
      </c>
      <c r="M21" s="63">
        <f t="shared" si="0"/>
        <v>770</v>
      </c>
      <c r="N21" s="63">
        <f t="shared" si="1"/>
        <v>1680</v>
      </c>
      <c r="P21" s="69" t="s">
        <v>347</v>
      </c>
    </row>
    <row r="22" spans="2:16" x14ac:dyDescent="0.35">
      <c r="B22" s="62" t="s">
        <v>37</v>
      </c>
      <c r="C22" s="62" t="s">
        <v>196</v>
      </c>
      <c r="D22" s="63">
        <v>280</v>
      </c>
      <c r="E22" s="63">
        <v>214</v>
      </c>
      <c r="F22" s="63">
        <v>162</v>
      </c>
      <c r="G22" s="63">
        <v>131</v>
      </c>
      <c r="L22" s="65">
        <v>15</v>
      </c>
      <c r="M22" s="70">
        <f>((L22-$L$21)*40)+770</f>
        <v>810</v>
      </c>
      <c r="N22" s="71">
        <f>((L22-$L$21)*70)+1680</f>
        <v>1750</v>
      </c>
      <c r="P22" s="89"/>
    </row>
    <row r="23" spans="2:16" x14ac:dyDescent="0.35">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35">
      <c r="B24" s="62" t="s">
        <v>38</v>
      </c>
      <c r="C24" s="62" t="s">
        <v>196</v>
      </c>
      <c r="D24" s="63">
        <v>280</v>
      </c>
      <c r="E24" s="63">
        <v>214</v>
      </c>
      <c r="F24" s="63">
        <v>162</v>
      </c>
      <c r="G24" s="63">
        <v>131</v>
      </c>
      <c r="L24" s="65">
        <v>17</v>
      </c>
      <c r="M24" s="70">
        <f t="shared" si="2"/>
        <v>890</v>
      </c>
      <c r="N24" s="71">
        <f t="shared" si="3"/>
        <v>1890</v>
      </c>
    </row>
    <row r="25" spans="2:16" x14ac:dyDescent="0.35">
      <c r="B25" s="62" t="s">
        <v>49</v>
      </c>
      <c r="C25" s="62" t="s">
        <v>196</v>
      </c>
      <c r="D25" s="63">
        <v>88</v>
      </c>
      <c r="E25" s="63">
        <v>74</v>
      </c>
      <c r="F25" s="63">
        <v>55</v>
      </c>
      <c r="G25" s="63">
        <v>39</v>
      </c>
      <c r="L25" s="65">
        <v>18</v>
      </c>
      <c r="M25" s="70">
        <f t="shared" si="2"/>
        <v>930</v>
      </c>
      <c r="N25" s="71">
        <f t="shared" si="3"/>
        <v>1960</v>
      </c>
    </row>
    <row r="26" spans="2:16" x14ac:dyDescent="0.35">
      <c r="B26" s="62" t="s">
        <v>30</v>
      </c>
      <c r="C26" s="62" t="s">
        <v>196</v>
      </c>
      <c r="D26" s="63">
        <v>294</v>
      </c>
      <c r="E26" s="63">
        <v>241</v>
      </c>
      <c r="F26" s="63">
        <v>190</v>
      </c>
      <c r="G26" s="63">
        <v>157</v>
      </c>
      <c r="L26" s="65">
        <v>19</v>
      </c>
      <c r="M26" s="70">
        <f t="shared" si="2"/>
        <v>970</v>
      </c>
      <c r="N26" s="71">
        <f t="shared" si="3"/>
        <v>2030</v>
      </c>
    </row>
    <row r="27" spans="2:16" x14ac:dyDescent="0.35">
      <c r="B27" s="62" t="s">
        <v>50</v>
      </c>
      <c r="C27" s="62" t="s">
        <v>196</v>
      </c>
      <c r="D27" s="63">
        <v>88</v>
      </c>
      <c r="E27" s="63">
        <v>74</v>
      </c>
      <c r="F27" s="63">
        <v>55</v>
      </c>
      <c r="G27" s="63">
        <v>39</v>
      </c>
      <c r="L27" s="65">
        <v>20</v>
      </c>
      <c r="M27" s="70">
        <f t="shared" si="2"/>
        <v>1010</v>
      </c>
      <c r="N27" s="71">
        <f t="shared" si="3"/>
        <v>2100</v>
      </c>
    </row>
    <row r="28" spans="2:16" x14ac:dyDescent="0.35">
      <c r="B28" s="62" t="s">
        <v>134</v>
      </c>
      <c r="C28" s="62" t="s">
        <v>196</v>
      </c>
      <c r="D28" s="63">
        <v>294</v>
      </c>
      <c r="E28" s="63">
        <v>241</v>
      </c>
      <c r="F28" s="63">
        <v>190</v>
      </c>
      <c r="G28" s="63">
        <v>157</v>
      </c>
      <c r="L28" s="65">
        <v>21</v>
      </c>
      <c r="M28" s="70">
        <f t="shared" si="2"/>
        <v>1050</v>
      </c>
      <c r="N28" s="71">
        <f t="shared" si="3"/>
        <v>2170</v>
      </c>
    </row>
    <row r="29" spans="2:16" x14ac:dyDescent="0.35">
      <c r="B29" s="62" t="s">
        <v>42</v>
      </c>
      <c r="C29" s="62" t="s">
        <v>196</v>
      </c>
      <c r="D29" s="63">
        <v>164</v>
      </c>
      <c r="E29" s="63">
        <v>137</v>
      </c>
      <c r="F29" s="63">
        <v>102</v>
      </c>
      <c r="G29" s="63">
        <v>78</v>
      </c>
      <c r="L29" s="65">
        <v>22</v>
      </c>
      <c r="M29" s="70">
        <f t="shared" si="2"/>
        <v>1090</v>
      </c>
      <c r="N29" s="71">
        <f t="shared" si="3"/>
        <v>2240</v>
      </c>
    </row>
    <row r="30" spans="2:16" x14ac:dyDescent="0.35">
      <c r="B30" s="62" t="s">
        <v>31</v>
      </c>
      <c r="C30" s="62" t="s">
        <v>196</v>
      </c>
      <c r="D30" s="63">
        <v>294</v>
      </c>
      <c r="E30" s="63">
        <v>241</v>
      </c>
      <c r="F30" s="63">
        <v>190</v>
      </c>
      <c r="G30" s="63">
        <v>157</v>
      </c>
      <c r="L30" s="65">
        <v>23</v>
      </c>
      <c r="M30" s="70">
        <f t="shared" si="2"/>
        <v>1130</v>
      </c>
      <c r="N30" s="71">
        <f t="shared" si="3"/>
        <v>2310</v>
      </c>
    </row>
    <row r="31" spans="2:16" x14ac:dyDescent="0.35">
      <c r="B31" s="62" t="s">
        <v>32</v>
      </c>
      <c r="C31" s="62" t="s">
        <v>196</v>
      </c>
      <c r="D31" s="63">
        <v>294</v>
      </c>
      <c r="E31" s="63">
        <v>241</v>
      </c>
      <c r="F31" s="63">
        <v>190</v>
      </c>
      <c r="G31" s="63">
        <v>157</v>
      </c>
      <c r="L31" s="65">
        <v>24</v>
      </c>
      <c r="M31" s="70">
        <f t="shared" si="2"/>
        <v>1170</v>
      </c>
      <c r="N31" s="71">
        <f t="shared" si="3"/>
        <v>2380</v>
      </c>
    </row>
    <row r="32" spans="2:16" x14ac:dyDescent="0.35">
      <c r="B32" s="62" t="s">
        <v>51</v>
      </c>
      <c r="C32" s="62" t="s">
        <v>196</v>
      </c>
      <c r="D32" s="63">
        <v>88</v>
      </c>
      <c r="E32" s="63">
        <v>74</v>
      </c>
      <c r="F32" s="63">
        <v>55</v>
      </c>
      <c r="G32" s="63">
        <v>39</v>
      </c>
      <c r="L32" s="65">
        <v>25</v>
      </c>
      <c r="M32" s="70">
        <f t="shared" si="2"/>
        <v>1210</v>
      </c>
      <c r="N32" s="71">
        <f t="shared" si="3"/>
        <v>2450</v>
      </c>
    </row>
    <row r="33" spans="2:14" x14ac:dyDescent="0.35">
      <c r="B33" s="62" t="s">
        <v>43</v>
      </c>
      <c r="C33" s="62" t="s">
        <v>196</v>
      </c>
      <c r="D33" s="63">
        <v>164</v>
      </c>
      <c r="E33" s="63">
        <v>137</v>
      </c>
      <c r="F33" s="63">
        <v>102</v>
      </c>
      <c r="G33" s="63">
        <v>78</v>
      </c>
      <c r="L33" s="65">
        <v>26</v>
      </c>
      <c r="M33" s="70">
        <f t="shared" si="2"/>
        <v>1250</v>
      </c>
      <c r="N33" s="71">
        <f t="shared" si="3"/>
        <v>2520</v>
      </c>
    </row>
    <row r="34" spans="2:14" x14ac:dyDescent="0.35">
      <c r="B34" s="62" t="s">
        <v>52</v>
      </c>
      <c r="C34" s="62" t="s">
        <v>196</v>
      </c>
      <c r="D34" s="63">
        <v>88</v>
      </c>
      <c r="E34" s="63">
        <v>74</v>
      </c>
      <c r="F34" s="63">
        <v>55</v>
      </c>
      <c r="G34" s="63">
        <v>39</v>
      </c>
      <c r="L34" s="65">
        <v>27</v>
      </c>
      <c r="M34" s="70">
        <f t="shared" si="2"/>
        <v>1290</v>
      </c>
      <c r="N34" s="71">
        <f t="shared" si="3"/>
        <v>2590</v>
      </c>
    </row>
    <row r="35" spans="2:14" x14ac:dyDescent="0.35">
      <c r="B35" s="62" t="s">
        <v>98</v>
      </c>
      <c r="C35" s="62" t="s">
        <v>196</v>
      </c>
      <c r="D35" s="63">
        <v>88</v>
      </c>
      <c r="E35" s="63">
        <v>74</v>
      </c>
      <c r="F35" s="63">
        <v>55</v>
      </c>
      <c r="G35" s="63">
        <v>39</v>
      </c>
      <c r="L35" s="65">
        <v>28</v>
      </c>
      <c r="M35" s="70">
        <f t="shared" si="2"/>
        <v>1330</v>
      </c>
      <c r="N35" s="71">
        <f t="shared" si="3"/>
        <v>2660</v>
      </c>
    </row>
    <row r="36" spans="2:14" x14ac:dyDescent="0.35">
      <c r="B36" s="62" t="s">
        <v>153</v>
      </c>
      <c r="C36" s="62" t="s">
        <v>196</v>
      </c>
      <c r="D36" s="63">
        <v>88</v>
      </c>
      <c r="E36" s="63">
        <v>74</v>
      </c>
      <c r="F36" s="63">
        <v>55</v>
      </c>
      <c r="G36" s="63">
        <v>39</v>
      </c>
      <c r="L36" s="65">
        <v>29</v>
      </c>
      <c r="M36" s="70">
        <f t="shared" si="2"/>
        <v>1370</v>
      </c>
      <c r="N36" s="71">
        <f t="shared" si="3"/>
        <v>2730</v>
      </c>
    </row>
    <row r="37" spans="2:14" x14ac:dyDescent="0.35">
      <c r="B37" s="62" t="s">
        <v>44</v>
      </c>
      <c r="C37" s="62" t="s">
        <v>196</v>
      </c>
      <c r="D37" s="63">
        <v>164</v>
      </c>
      <c r="E37" s="63">
        <v>137</v>
      </c>
      <c r="F37" s="63">
        <v>102</v>
      </c>
      <c r="G37" s="63">
        <v>78</v>
      </c>
      <c r="L37" s="65">
        <v>30</v>
      </c>
      <c r="M37" s="70">
        <f t="shared" si="2"/>
        <v>1410</v>
      </c>
      <c r="N37" s="71">
        <f t="shared" si="3"/>
        <v>2800</v>
      </c>
    </row>
    <row r="38" spans="2:14" x14ac:dyDescent="0.35">
      <c r="B38" s="62" t="s">
        <v>45</v>
      </c>
      <c r="C38" s="62" t="s">
        <v>196</v>
      </c>
      <c r="D38" s="63">
        <v>164</v>
      </c>
      <c r="E38" s="63">
        <v>137</v>
      </c>
      <c r="F38" s="63">
        <v>102</v>
      </c>
      <c r="G38" s="63">
        <v>78</v>
      </c>
      <c r="L38" s="65">
        <v>31</v>
      </c>
      <c r="M38" s="70">
        <f t="shared" si="2"/>
        <v>1450</v>
      </c>
      <c r="N38" s="71">
        <f t="shared" si="3"/>
        <v>2870</v>
      </c>
    </row>
    <row r="39" spans="2:14" x14ac:dyDescent="0.35">
      <c r="B39" s="62" t="s">
        <v>33</v>
      </c>
      <c r="C39" s="62" t="s">
        <v>196</v>
      </c>
      <c r="D39" s="63">
        <v>294</v>
      </c>
      <c r="E39" s="63">
        <v>241</v>
      </c>
      <c r="F39" s="63">
        <v>190</v>
      </c>
      <c r="G39" s="63">
        <v>157</v>
      </c>
      <c r="L39" s="65">
        <v>32</v>
      </c>
      <c r="M39" s="70">
        <f t="shared" si="2"/>
        <v>1490</v>
      </c>
      <c r="N39" s="71">
        <f t="shared" si="3"/>
        <v>2940</v>
      </c>
    </row>
    <row r="40" spans="2:14" x14ac:dyDescent="0.35">
      <c r="B40" s="62" t="s">
        <v>53</v>
      </c>
      <c r="C40" s="62" t="s">
        <v>196</v>
      </c>
      <c r="D40" s="63">
        <v>88</v>
      </c>
      <c r="E40" s="63">
        <v>74</v>
      </c>
      <c r="F40" s="63">
        <v>55</v>
      </c>
      <c r="G40" s="63">
        <v>39</v>
      </c>
      <c r="L40" s="65">
        <v>33</v>
      </c>
      <c r="M40" s="70">
        <f t="shared" si="2"/>
        <v>1530</v>
      </c>
      <c r="N40" s="71">
        <f t="shared" si="3"/>
        <v>3010</v>
      </c>
    </row>
    <row r="41" spans="2:14" x14ac:dyDescent="0.35">
      <c r="B41" s="62" t="s">
        <v>39</v>
      </c>
      <c r="C41" s="62" t="s">
        <v>196</v>
      </c>
      <c r="D41" s="63">
        <v>280</v>
      </c>
      <c r="E41" s="63">
        <v>214</v>
      </c>
      <c r="F41" s="63">
        <v>162</v>
      </c>
      <c r="G41" s="63">
        <v>131</v>
      </c>
      <c r="L41" s="65">
        <v>34</v>
      </c>
      <c r="M41" s="70">
        <f t="shared" si="2"/>
        <v>1570</v>
      </c>
      <c r="N41" s="71">
        <f t="shared" si="3"/>
        <v>3080</v>
      </c>
    </row>
    <row r="42" spans="2:14" x14ac:dyDescent="0.35">
      <c r="B42" s="64" t="s">
        <v>7</v>
      </c>
      <c r="C42" s="64" t="s">
        <v>197</v>
      </c>
      <c r="D42" s="72">
        <v>77</v>
      </c>
      <c r="E42" s="72">
        <v>57</v>
      </c>
      <c r="F42" s="72">
        <v>40</v>
      </c>
      <c r="G42" s="72">
        <v>32</v>
      </c>
      <c r="L42" s="65">
        <v>35</v>
      </c>
      <c r="M42" s="70">
        <f t="shared" si="2"/>
        <v>1610</v>
      </c>
      <c r="N42" s="71">
        <f t="shared" si="3"/>
        <v>3150</v>
      </c>
    </row>
    <row r="43" spans="2:14" x14ac:dyDescent="0.35">
      <c r="B43" s="64" t="s">
        <v>55</v>
      </c>
      <c r="C43" s="64" t="s">
        <v>197</v>
      </c>
      <c r="D43" s="72">
        <v>108</v>
      </c>
      <c r="E43" s="72">
        <v>80</v>
      </c>
      <c r="F43" s="72">
        <v>57</v>
      </c>
      <c r="G43" s="72">
        <v>45</v>
      </c>
      <c r="L43" s="65">
        <v>36</v>
      </c>
      <c r="M43" s="70">
        <f t="shared" si="2"/>
        <v>1650</v>
      </c>
      <c r="N43" s="71">
        <f t="shared" si="3"/>
        <v>3220</v>
      </c>
    </row>
    <row r="44" spans="2:14" x14ac:dyDescent="0.35">
      <c r="B44" s="64" t="s">
        <v>56</v>
      </c>
      <c r="C44" s="64" t="s">
        <v>197</v>
      </c>
      <c r="D44" s="72">
        <v>47</v>
      </c>
      <c r="E44" s="72">
        <v>33</v>
      </c>
      <c r="F44" s="72">
        <v>22</v>
      </c>
      <c r="G44" s="72">
        <v>17</v>
      </c>
      <c r="L44" s="65">
        <v>37</v>
      </c>
      <c r="M44" s="70">
        <f t="shared" si="2"/>
        <v>1690</v>
      </c>
      <c r="N44" s="71">
        <f t="shared" si="3"/>
        <v>3290</v>
      </c>
    </row>
    <row r="45" spans="2:14" x14ac:dyDescent="0.35">
      <c r="B45" s="64" t="s">
        <v>231</v>
      </c>
      <c r="C45" s="64" t="s">
        <v>197</v>
      </c>
      <c r="D45" s="72">
        <v>108</v>
      </c>
      <c r="E45" s="72">
        <v>80</v>
      </c>
      <c r="F45" s="72">
        <v>57</v>
      </c>
      <c r="G45" s="72">
        <v>45</v>
      </c>
      <c r="L45" s="65">
        <v>38</v>
      </c>
      <c r="M45" s="70">
        <f t="shared" si="2"/>
        <v>1730</v>
      </c>
      <c r="N45" s="71">
        <f t="shared" si="3"/>
        <v>3360</v>
      </c>
    </row>
    <row r="46" spans="2:14" x14ac:dyDescent="0.35">
      <c r="B46" s="64" t="s">
        <v>232</v>
      </c>
      <c r="C46" s="64" t="s">
        <v>197</v>
      </c>
      <c r="D46" s="72">
        <v>108</v>
      </c>
      <c r="E46" s="72">
        <v>80</v>
      </c>
      <c r="F46" s="72">
        <v>57</v>
      </c>
      <c r="G46" s="72">
        <v>45</v>
      </c>
      <c r="L46" s="65">
        <v>39</v>
      </c>
      <c r="M46" s="70">
        <f t="shared" si="2"/>
        <v>1770</v>
      </c>
      <c r="N46" s="71">
        <f t="shared" si="3"/>
        <v>3430</v>
      </c>
    </row>
    <row r="47" spans="2:14" x14ac:dyDescent="0.35">
      <c r="B47" s="64" t="s">
        <v>57</v>
      </c>
      <c r="C47" s="64" t="s">
        <v>197</v>
      </c>
      <c r="D47" s="72">
        <v>108</v>
      </c>
      <c r="E47" s="72">
        <v>80</v>
      </c>
      <c r="F47" s="72">
        <v>57</v>
      </c>
      <c r="G47" s="72">
        <v>45</v>
      </c>
      <c r="L47" s="65">
        <v>40</v>
      </c>
      <c r="M47" s="70">
        <f t="shared" si="2"/>
        <v>1810</v>
      </c>
      <c r="N47" s="71">
        <f t="shared" si="3"/>
        <v>3500</v>
      </c>
    </row>
    <row r="48" spans="2:14" x14ac:dyDescent="0.35">
      <c r="B48" s="64" t="s">
        <v>58</v>
      </c>
      <c r="C48" s="64" t="s">
        <v>197</v>
      </c>
      <c r="D48" s="72">
        <v>47</v>
      </c>
      <c r="E48" s="72">
        <v>33</v>
      </c>
      <c r="F48" s="72">
        <v>22</v>
      </c>
      <c r="G48" s="72">
        <v>17</v>
      </c>
      <c r="L48" s="65">
        <v>41</v>
      </c>
      <c r="M48" s="70">
        <f t="shared" si="2"/>
        <v>1850</v>
      </c>
      <c r="N48" s="71">
        <f t="shared" si="3"/>
        <v>3570</v>
      </c>
    </row>
    <row r="49" spans="2:14" x14ac:dyDescent="0.35">
      <c r="B49" s="64" t="s">
        <v>59</v>
      </c>
      <c r="C49" s="64" t="s">
        <v>197</v>
      </c>
      <c r="D49" s="72">
        <v>77</v>
      </c>
      <c r="E49" s="72">
        <v>57</v>
      </c>
      <c r="F49" s="72">
        <v>40</v>
      </c>
      <c r="G49" s="72">
        <v>32</v>
      </c>
      <c r="L49" s="65">
        <v>42</v>
      </c>
      <c r="M49" s="70">
        <f t="shared" si="2"/>
        <v>1890</v>
      </c>
      <c r="N49" s="71">
        <f t="shared" si="3"/>
        <v>3640</v>
      </c>
    </row>
    <row r="50" spans="2:14" x14ac:dyDescent="0.35">
      <c r="B50" s="64" t="s">
        <v>233</v>
      </c>
      <c r="C50" s="64" t="s">
        <v>197</v>
      </c>
      <c r="D50" s="72">
        <v>77</v>
      </c>
      <c r="E50" s="72">
        <v>57</v>
      </c>
      <c r="F50" s="72">
        <v>40</v>
      </c>
      <c r="G50" s="72">
        <v>32</v>
      </c>
      <c r="L50" s="65">
        <v>43</v>
      </c>
      <c r="M50" s="70">
        <f t="shared" si="2"/>
        <v>1930</v>
      </c>
      <c r="N50" s="71">
        <f t="shared" si="3"/>
        <v>3710</v>
      </c>
    </row>
    <row r="51" spans="2:14" x14ac:dyDescent="0.35">
      <c r="B51" s="64" t="s">
        <v>60</v>
      </c>
      <c r="C51" s="64" t="s">
        <v>197</v>
      </c>
      <c r="D51" s="72">
        <v>47</v>
      </c>
      <c r="E51" s="72">
        <v>33</v>
      </c>
      <c r="F51" s="72">
        <v>22</v>
      </c>
      <c r="G51" s="72">
        <v>17</v>
      </c>
      <c r="L51" s="65">
        <v>44</v>
      </c>
      <c r="M51" s="70">
        <f t="shared" si="2"/>
        <v>1970</v>
      </c>
      <c r="N51" s="71">
        <f t="shared" si="3"/>
        <v>3780</v>
      </c>
    </row>
    <row r="52" spans="2:14" x14ac:dyDescent="0.35">
      <c r="B52" s="64" t="s">
        <v>234</v>
      </c>
      <c r="C52" s="64" t="s">
        <v>197</v>
      </c>
      <c r="D52" s="72">
        <v>108</v>
      </c>
      <c r="E52" s="72">
        <v>80</v>
      </c>
      <c r="F52" s="72">
        <v>57</v>
      </c>
      <c r="G52" s="72">
        <v>45</v>
      </c>
      <c r="L52" s="65">
        <v>45</v>
      </c>
      <c r="M52" s="70">
        <f t="shared" si="2"/>
        <v>2010</v>
      </c>
      <c r="N52" s="71">
        <f t="shared" si="3"/>
        <v>3850</v>
      </c>
    </row>
    <row r="53" spans="2:14" x14ac:dyDescent="0.35">
      <c r="B53" s="64" t="s">
        <v>61</v>
      </c>
      <c r="C53" s="64" t="s">
        <v>197</v>
      </c>
      <c r="D53" s="72">
        <v>47</v>
      </c>
      <c r="E53" s="72">
        <v>33</v>
      </c>
      <c r="F53" s="72">
        <v>22</v>
      </c>
      <c r="G53" s="72">
        <v>17</v>
      </c>
      <c r="L53" s="65">
        <v>46</v>
      </c>
      <c r="M53" s="70">
        <f t="shared" si="2"/>
        <v>2050</v>
      </c>
      <c r="N53" s="71">
        <f t="shared" si="3"/>
        <v>3920</v>
      </c>
    </row>
    <row r="54" spans="2:14" x14ac:dyDescent="0.35">
      <c r="B54" s="64" t="s">
        <v>235</v>
      </c>
      <c r="C54" s="64" t="s">
        <v>197</v>
      </c>
      <c r="D54" s="72">
        <v>47</v>
      </c>
      <c r="E54" s="72">
        <v>33</v>
      </c>
      <c r="F54" s="72">
        <v>22</v>
      </c>
      <c r="G54" s="72">
        <v>17</v>
      </c>
      <c r="L54" s="65">
        <v>47</v>
      </c>
      <c r="M54" s="70">
        <f t="shared" si="2"/>
        <v>2090</v>
      </c>
      <c r="N54" s="71">
        <f t="shared" si="3"/>
        <v>3990</v>
      </c>
    </row>
    <row r="55" spans="2:14" x14ac:dyDescent="0.35">
      <c r="B55" s="64" t="s">
        <v>236</v>
      </c>
      <c r="C55" s="64" t="s">
        <v>197</v>
      </c>
      <c r="D55" s="72">
        <v>47</v>
      </c>
      <c r="E55" s="72">
        <v>33</v>
      </c>
      <c r="F55" s="72">
        <v>22</v>
      </c>
      <c r="G55" s="72">
        <v>17</v>
      </c>
      <c r="L55" s="65">
        <v>48</v>
      </c>
      <c r="M55" s="70">
        <f t="shared" si="2"/>
        <v>2130</v>
      </c>
      <c r="N55" s="71">
        <f t="shared" si="3"/>
        <v>4060</v>
      </c>
    </row>
    <row r="56" spans="2:14" x14ac:dyDescent="0.35">
      <c r="B56" s="64" t="s">
        <v>62</v>
      </c>
      <c r="C56" s="64" t="s">
        <v>197</v>
      </c>
      <c r="D56" s="72">
        <v>47</v>
      </c>
      <c r="E56" s="72">
        <v>33</v>
      </c>
      <c r="F56" s="72">
        <v>22</v>
      </c>
      <c r="G56" s="72">
        <v>17</v>
      </c>
      <c r="L56" s="65">
        <v>49</v>
      </c>
      <c r="M56" s="70">
        <f t="shared" si="2"/>
        <v>2170</v>
      </c>
      <c r="N56" s="71">
        <f t="shared" si="3"/>
        <v>4130</v>
      </c>
    </row>
    <row r="57" spans="2:14" x14ac:dyDescent="0.35">
      <c r="B57" s="64" t="s">
        <v>63</v>
      </c>
      <c r="C57" s="64" t="s">
        <v>197</v>
      </c>
      <c r="D57" s="72">
        <v>77</v>
      </c>
      <c r="E57" s="72">
        <v>57</v>
      </c>
      <c r="F57" s="72">
        <v>40</v>
      </c>
      <c r="G57" s="72">
        <v>32</v>
      </c>
      <c r="L57" s="65">
        <v>50</v>
      </c>
      <c r="M57" s="70">
        <f t="shared" si="2"/>
        <v>2210</v>
      </c>
      <c r="N57" s="71">
        <f t="shared" si="3"/>
        <v>4200</v>
      </c>
    </row>
    <row r="58" spans="2:14" x14ac:dyDescent="0.35">
      <c r="B58" s="64" t="s">
        <v>64</v>
      </c>
      <c r="C58" s="64" t="s">
        <v>197</v>
      </c>
      <c r="D58" s="72">
        <v>108</v>
      </c>
      <c r="E58" s="72">
        <v>80</v>
      </c>
      <c r="F58" s="72">
        <v>57</v>
      </c>
      <c r="G58" s="72">
        <v>45</v>
      </c>
      <c r="L58" s="65">
        <v>51</v>
      </c>
      <c r="M58" s="70">
        <f t="shared" si="2"/>
        <v>2250</v>
      </c>
      <c r="N58" s="71">
        <f t="shared" si="3"/>
        <v>4270</v>
      </c>
    </row>
    <row r="59" spans="2:14" x14ac:dyDescent="0.35">
      <c r="B59" s="64" t="s">
        <v>237</v>
      </c>
      <c r="C59" s="64" t="s">
        <v>197</v>
      </c>
      <c r="D59" s="72">
        <v>47</v>
      </c>
      <c r="E59" s="72">
        <v>33</v>
      </c>
      <c r="F59" s="72">
        <v>22</v>
      </c>
      <c r="G59" s="72">
        <v>17</v>
      </c>
      <c r="L59" s="65">
        <v>52</v>
      </c>
      <c r="M59" s="70">
        <f t="shared" si="2"/>
        <v>2290</v>
      </c>
      <c r="N59" s="71">
        <f t="shared" si="3"/>
        <v>4340</v>
      </c>
    </row>
    <row r="60" spans="2:14" x14ac:dyDescent="0.35">
      <c r="B60" s="64" t="s">
        <v>65</v>
      </c>
      <c r="C60" s="64" t="s">
        <v>197</v>
      </c>
      <c r="D60" s="72">
        <v>108</v>
      </c>
      <c r="E60" s="72">
        <v>80</v>
      </c>
      <c r="F60" s="72">
        <v>57</v>
      </c>
      <c r="G60" s="72">
        <v>45</v>
      </c>
      <c r="L60" s="65">
        <v>53</v>
      </c>
      <c r="M60" s="70">
        <f t="shared" si="2"/>
        <v>2330</v>
      </c>
      <c r="N60" s="71">
        <f t="shared" si="3"/>
        <v>4410</v>
      </c>
    </row>
    <row r="61" spans="2:14" x14ac:dyDescent="0.35">
      <c r="B61" s="64" t="s">
        <v>238</v>
      </c>
      <c r="C61" s="64" t="s">
        <v>197</v>
      </c>
      <c r="D61" s="72">
        <v>77</v>
      </c>
      <c r="E61" s="72">
        <v>57</v>
      </c>
      <c r="F61" s="72">
        <v>40</v>
      </c>
      <c r="G61" s="72">
        <v>32</v>
      </c>
      <c r="L61" s="65">
        <v>54</v>
      </c>
      <c r="M61" s="70">
        <f t="shared" si="2"/>
        <v>2370</v>
      </c>
      <c r="N61" s="71">
        <f t="shared" si="3"/>
        <v>4480</v>
      </c>
    </row>
    <row r="62" spans="2:14" x14ac:dyDescent="0.35">
      <c r="B62" s="64" t="s">
        <v>239</v>
      </c>
      <c r="C62" s="64" t="s">
        <v>197</v>
      </c>
      <c r="D62" s="72">
        <v>47</v>
      </c>
      <c r="E62" s="72">
        <v>33</v>
      </c>
      <c r="F62" s="72">
        <v>22</v>
      </c>
      <c r="G62" s="72">
        <v>17</v>
      </c>
      <c r="L62" s="65">
        <v>55</v>
      </c>
      <c r="M62" s="70">
        <f t="shared" si="2"/>
        <v>2410</v>
      </c>
      <c r="N62" s="71">
        <f t="shared" si="3"/>
        <v>4550</v>
      </c>
    </row>
    <row r="63" spans="2:14" x14ac:dyDescent="0.35">
      <c r="B63" s="64" t="s">
        <v>66</v>
      </c>
      <c r="C63" s="64" t="s">
        <v>197</v>
      </c>
      <c r="D63" s="72">
        <v>47</v>
      </c>
      <c r="E63" s="72">
        <v>33</v>
      </c>
      <c r="F63" s="72">
        <v>22</v>
      </c>
      <c r="G63" s="72">
        <v>17</v>
      </c>
      <c r="L63" s="65">
        <v>56</v>
      </c>
      <c r="M63" s="70">
        <f t="shared" si="2"/>
        <v>2450</v>
      </c>
      <c r="N63" s="71">
        <f t="shared" si="3"/>
        <v>4620</v>
      </c>
    </row>
    <row r="64" spans="2:14" x14ac:dyDescent="0.35">
      <c r="B64" s="64" t="s">
        <v>240</v>
      </c>
      <c r="C64" s="64" t="s">
        <v>197</v>
      </c>
      <c r="D64" s="72">
        <v>77</v>
      </c>
      <c r="E64" s="72">
        <v>57</v>
      </c>
      <c r="F64" s="72">
        <v>40</v>
      </c>
      <c r="G64" s="72">
        <v>32</v>
      </c>
      <c r="L64" s="65">
        <v>57</v>
      </c>
      <c r="M64" s="70">
        <f t="shared" si="2"/>
        <v>2490</v>
      </c>
      <c r="N64" s="71">
        <f t="shared" si="3"/>
        <v>4690</v>
      </c>
    </row>
    <row r="65" spans="2:14" x14ac:dyDescent="0.35">
      <c r="B65" s="64" t="s">
        <v>241</v>
      </c>
      <c r="C65" s="64" t="s">
        <v>197</v>
      </c>
      <c r="D65" s="72">
        <v>47</v>
      </c>
      <c r="E65" s="72">
        <v>33</v>
      </c>
      <c r="F65" s="72">
        <v>22</v>
      </c>
      <c r="G65" s="72">
        <v>17</v>
      </c>
      <c r="L65" s="65">
        <v>58</v>
      </c>
      <c r="M65" s="70">
        <f t="shared" si="2"/>
        <v>2530</v>
      </c>
      <c r="N65" s="71">
        <f t="shared" si="3"/>
        <v>4760</v>
      </c>
    </row>
    <row r="66" spans="2:14" x14ac:dyDescent="0.35">
      <c r="B66" s="64" t="s">
        <v>242</v>
      </c>
      <c r="C66" s="64" t="s">
        <v>197</v>
      </c>
      <c r="D66" s="72">
        <v>47</v>
      </c>
      <c r="E66" s="72">
        <v>33</v>
      </c>
      <c r="F66" s="72">
        <v>22</v>
      </c>
      <c r="G66" s="72">
        <v>17</v>
      </c>
      <c r="L66" s="65">
        <v>59</v>
      </c>
      <c r="M66" s="70">
        <f t="shared" si="2"/>
        <v>2570</v>
      </c>
      <c r="N66" s="71">
        <f t="shared" si="3"/>
        <v>4830</v>
      </c>
    </row>
    <row r="67" spans="2:14" x14ac:dyDescent="0.35">
      <c r="B67" s="64" t="s">
        <v>243</v>
      </c>
      <c r="C67" s="64" t="s">
        <v>197</v>
      </c>
      <c r="D67" s="72">
        <v>47</v>
      </c>
      <c r="E67" s="72">
        <v>33</v>
      </c>
      <c r="F67" s="72">
        <v>22</v>
      </c>
      <c r="G67" s="72">
        <v>17</v>
      </c>
      <c r="L67" s="65">
        <v>60</v>
      </c>
      <c r="M67" s="70">
        <f t="shared" si="2"/>
        <v>2610</v>
      </c>
      <c r="N67" s="71">
        <f t="shared" si="3"/>
        <v>4900</v>
      </c>
    </row>
    <row r="68" spans="2:14" x14ac:dyDescent="0.35">
      <c r="B68" s="64" t="s">
        <v>351</v>
      </c>
      <c r="C68" s="64" t="s">
        <v>197</v>
      </c>
      <c r="D68" s="72">
        <v>108</v>
      </c>
      <c r="E68" s="72">
        <v>80</v>
      </c>
      <c r="F68" s="72">
        <v>57</v>
      </c>
      <c r="G68" s="72">
        <v>45</v>
      </c>
      <c r="L68" s="73">
        <v>61</v>
      </c>
      <c r="M68" s="70">
        <f t="shared" si="2"/>
        <v>2650</v>
      </c>
      <c r="N68" s="74">
        <f>((L68-$L$67)*50)+4900</f>
        <v>4950</v>
      </c>
    </row>
    <row r="69" spans="2:14" x14ac:dyDescent="0.35">
      <c r="B69" s="64" t="s">
        <v>67</v>
      </c>
      <c r="C69" s="64" t="s">
        <v>197</v>
      </c>
      <c r="D69" s="72">
        <v>77</v>
      </c>
      <c r="E69" s="72">
        <v>57</v>
      </c>
      <c r="F69" s="72">
        <v>40</v>
      </c>
      <c r="G69" s="72">
        <v>32</v>
      </c>
      <c r="L69" s="65">
        <v>62</v>
      </c>
      <c r="M69" s="70">
        <f t="shared" si="2"/>
        <v>2690</v>
      </c>
      <c r="N69" s="74">
        <f t="shared" ref="N69:N97" si="4">((L69-$L$67)*50)+4900</f>
        <v>5000</v>
      </c>
    </row>
    <row r="70" spans="2:14" x14ac:dyDescent="0.35">
      <c r="B70" s="64" t="s">
        <v>68</v>
      </c>
      <c r="C70" s="64" t="s">
        <v>197</v>
      </c>
      <c r="D70" s="72">
        <v>108</v>
      </c>
      <c r="E70" s="72">
        <v>80</v>
      </c>
      <c r="F70" s="72">
        <v>57</v>
      </c>
      <c r="G70" s="72">
        <v>45</v>
      </c>
      <c r="L70" s="65">
        <v>63</v>
      </c>
      <c r="M70" s="70">
        <f t="shared" si="2"/>
        <v>2730</v>
      </c>
      <c r="N70" s="74">
        <f t="shared" si="4"/>
        <v>5050</v>
      </c>
    </row>
    <row r="71" spans="2:14" x14ac:dyDescent="0.35">
      <c r="B71" s="64" t="s">
        <v>244</v>
      </c>
      <c r="C71" s="64" t="s">
        <v>197</v>
      </c>
      <c r="D71" s="72">
        <v>108</v>
      </c>
      <c r="E71" s="72">
        <v>80</v>
      </c>
      <c r="F71" s="72">
        <v>57</v>
      </c>
      <c r="G71" s="72">
        <v>45</v>
      </c>
      <c r="L71" s="65">
        <v>64</v>
      </c>
      <c r="M71" s="70">
        <f t="shared" si="2"/>
        <v>2770</v>
      </c>
      <c r="N71" s="74">
        <f t="shared" si="4"/>
        <v>5100</v>
      </c>
    </row>
    <row r="72" spans="2:14" x14ac:dyDescent="0.35">
      <c r="B72" s="64" t="s">
        <v>245</v>
      </c>
      <c r="C72" s="64" t="s">
        <v>197</v>
      </c>
      <c r="D72" s="72">
        <v>77</v>
      </c>
      <c r="E72" s="72">
        <v>57</v>
      </c>
      <c r="F72" s="72">
        <v>40</v>
      </c>
      <c r="G72" s="72">
        <v>32</v>
      </c>
      <c r="L72" s="65">
        <v>65</v>
      </c>
      <c r="M72" s="70">
        <f t="shared" si="2"/>
        <v>2810</v>
      </c>
      <c r="N72" s="74">
        <f t="shared" si="4"/>
        <v>5150</v>
      </c>
    </row>
    <row r="73" spans="2:14" x14ac:dyDescent="0.35">
      <c r="B73" s="64" t="s">
        <v>325</v>
      </c>
      <c r="C73" s="64" t="s">
        <v>197</v>
      </c>
      <c r="D73" s="72">
        <v>47</v>
      </c>
      <c r="E73" s="72">
        <v>33</v>
      </c>
      <c r="F73" s="72">
        <v>22</v>
      </c>
      <c r="G73" s="72">
        <v>17</v>
      </c>
      <c r="L73" s="65">
        <v>66</v>
      </c>
      <c r="M73" s="70">
        <f t="shared" si="2"/>
        <v>2850</v>
      </c>
      <c r="N73" s="74">
        <f t="shared" si="4"/>
        <v>5200</v>
      </c>
    </row>
    <row r="74" spans="2:14" x14ac:dyDescent="0.35">
      <c r="B74" s="64" t="s">
        <v>246</v>
      </c>
      <c r="C74" s="64" t="s">
        <v>197</v>
      </c>
      <c r="D74" s="72">
        <v>108</v>
      </c>
      <c r="E74" s="72">
        <v>80</v>
      </c>
      <c r="F74" s="72">
        <v>57</v>
      </c>
      <c r="G74" s="72">
        <v>45</v>
      </c>
      <c r="L74" s="65">
        <v>67</v>
      </c>
      <c r="M74" s="70">
        <f t="shared" si="2"/>
        <v>2890</v>
      </c>
      <c r="N74" s="74">
        <f t="shared" si="4"/>
        <v>5250</v>
      </c>
    </row>
    <row r="75" spans="2:14" x14ac:dyDescent="0.35">
      <c r="B75" s="64" t="s">
        <v>69</v>
      </c>
      <c r="C75" s="64" t="s">
        <v>197</v>
      </c>
      <c r="D75" s="72">
        <v>77</v>
      </c>
      <c r="E75" s="72">
        <v>57</v>
      </c>
      <c r="F75" s="72">
        <v>40</v>
      </c>
      <c r="G75" s="72">
        <v>32</v>
      </c>
      <c r="L75" s="65">
        <v>68</v>
      </c>
      <c r="M75" s="70">
        <f t="shared" si="2"/>
        <v>2930</v>
      </c>
      <c r="N75" s="74">
        <f t="shared" si="4"/>
        <v>5300</v>
      </c>
    </row>
    <row r="76" spans="2:14" x14ac:dyDescent="0.35">
      <c r="B76" s="64" t="s">
        <v>70</v>
      </c>
      <c r="C76" s="64" t="s">
        <v>197</v>
      </c>
      <c r="D76" s="72">
        <v>47</v>
      </c>
      <c r="E76" s="72">
        <v>33</v>
      </c>
      <c r="F76" s="72">
        <v>22</v>
      </c>
      <c r="G76" s="72">
        <v>17</v>
      </c>
      <c r="L76" s="65">
        <v>69</v>
      </c>
      <c r="M76" s="70">
        <f t="shared" si="2"/>
        <v>2970</v>
      </c>
      <c r="N76" s="74">
        <f t="shared" si="4"/>
        <v>5350</v>
      </c>
    </row>
    <row r="77" spans="2:14" x14ac:dyDescent="0.35">
      <c r="B77" s="64" t="s">
        <v>247</v>
      </c>
      <c r="C77" s="64" t="s">
        <v>197</v>
      </c>
      <c r="D77" s="72">
        <v>77</v>
      </c>
      <c r="E77" s="72">
        <v>57</v>
      </c>
      <c r="F77" s="72">
        <v>40</v>
      </c>
      <c r="G77" s="72">
        <v>32</v>
      </c>
      <c r="L77" s="65">
        <v>70</v>
      </c>
      <c r="M77" s="70">
        <f t="shared" si="2"/>
        <v>3010</v>
      </c>
      <c r="N77" s="74">
        <f t="shared" si="4"/>
        <v>5400</v>
      </c>
    </row>
    <row r="78" spans="2:14" x14ac:dyDescent="0.35">
      <c r="B78" s="64" t="s">
        <v>248</v>
      </c>
      <c r="C78" s="64" t="s">
        <v>197</v>
      </c>
      <c r="D78" s="72">
        <v>108</v>
      </c>
      <c r="E78" s="72">
        <v>80</v>
      </c>
      <c r="F78" s="72">
        <v>57</v>
      </c>
      <c r="G78" s="72">
        <v>45</v>
      </c>
      <c r="L78" s="65">
        <v>71</v>
      </c>
      <c r="M78" s="70">
        <f t="shared" si="2"/>
        <v>3050</v>
      </c>
      <c r="N78" s="74">
        <f t="shared" si="4"/>
        <v>5450</v>
      </c>
    </row>
    <row r="79" spans="2:14" x14ac:dyDescent="0.35">
      <c r="B79" s="64" t="s">
        <v>249</v>
      </c>
      <c r="C79" s="64" t="s">
        <v>197</v>
      </c>
      <c r="D79" s="72">
        <v>77</v>
      </c>
      <c r="E79" s="72">
        <v>57</v>
      </c>
      <c r="F79" s="72">
        <v>40</v>
      </c>
      <c r="G79" s="72">
        <v>32</v>
      </c>
      <c r="L79" s="65">
        <v>72</v>
      </c>
      <c r="M79" s="70">
        <f t="shared" si="2"/>
        <v>3090</v>
      </c>
      <c r="N79" s="74">
        <f t="shared" si="4"/>
        <v>5500</v>
      </c>
    </row>
    <row r="80" spans="2:14" x14ac:dyDescent="0.35">
      <c r="B80" s="64" t="s">
        <v>321</v>
      </c>
      <c r="C80" s="64" t="s">
        <v>197</v>
      </c>
      <c r="D80" s="72">
        <v>47</v>
      </c>
      <c r="E80" s="72">
        <v>33</v>
      </c>
      <c r="F80" s="72">
        <v>22</v>
      </c>
      <c r="G80" s="72">
        <v>17</v>
      </c>
      <c r="L80" s="65">
        <v>73</v>
      </c>
      <c r="M80" s="70">
        <f t="shared" si="2"/>
        <v>3130</v>
      </c>
      <c r="N80" s="74">
        <f t="shared" si="4"/>
        <v>5550</v>
      </c>
    </row>
    <row r="81" spans="2:14" x14ac:dyDescent="0.35">
      <c r="B81" s="64" t="s">
        <v>71</v>
      </c>
      <c r="C81" s="64" t="s">
        <v>197</v>
      </c>
      <c r="D81" s="72">
        <v>77</v>
      </c>
      <c r="E81" s="72">
        <v>57</v>
      </c>
      <c r="F81" s="72">
        <v>40</v>
      </c>
      <c r="G81" s="72">
        <v>32</v>
      </c>
      <c r="L81" s="65">
        <v>74</v>
      </c>
      <c r="M81" s="70">
        <f t="shared" si="2"/>
        <v>3170</v>
      </c>
      <c r="N81" s="74">
        <f t="shared" si="4"/>
        <v>5600</v>
      </c>
    </row>
    <row r="82" spans="2:14" x14ac:dyDescent="0.35">
      <c r="B82" s="64" t="s">
        <v>72</v>
      </c>
      <c r="C82" s="64" t="s">
        <v>197</v>
      </c>
      <c r="D82" s="72">
        <v>47</v>
      </c>
      <c r="E82" s="72">
        <v>33</v>
      </c>
      <c r="F82" s="72">
        <v>22</v>
      </c>
      <c r="G82" s="72">
        <v>17</v>
      </c>
      <c r="L82" s="65">
        <v>75</v>
      </c>
      <c r="M82" s="70">
        <f t="shared" si="2"/>
        <v>3210</v>
      </c>
      <c r="N82" s="74">
        <f t="shared" si="4"/>
        <v>5650</v>
      </c>
    </row>
    <row r="83" spans="2:14" x14ac:dyDescent="0.35">
      <c r="B83" s="64" t="s">
        <v>310</v>
      </c>
      <c r="C83" s="64" t="s">
        <v>197</v>
      </c>
      <c r="D83" s="72">
        <v>77</v>
      </c>
      <c r="E83" s="72">
        <v>57</v>
      </c>
      <c r="F83" s="72">
        <v>40</v>
      </c>
      <c r="G83" s="72">
        <v>32</v>
      </c>
      <c r="L83" s="65">
        <v>76</v>
      </c>
      <c r="M83" s="70">
        <f t="shared" si="2"/>
        <v>3250</v>
      </c>
      <c r="N83" s="74">
        <f t="shared" si="4"/>
        <v>5700</v>
      </c>
    </row>
    <row r="84" spans="2:14" x14ac:dyDescent="0.35">
      <c r="B84" s="64" t="s">
        <v>250</v>
      </c>
      <c r="C84" s="64" t="s">
        <v>197</v>
      </c>
      <c r="D84" s="72">
        <v>47</v>
      </c>
      <c r="E84" s="72">
        <v>33</v>
      </c>
      <c r="F84" s="72">
        <v>22</v>
      </c>
      <c r="G84" s="72">
        <v>17</v>
      </c>
      <c r="L84" s="65">
        <v>77</v>
      </c>
      <c r="M84" s="70">
        <f t="shared" si="2"/>
        <v>3290</v>
      </c>
      <c r="N84" s="74">
        <f t="shared" si="4"/>
        <v>5750</v>
      </c>
    </row>
    <row r="85" spans="2:14" x14ac:dyDescent="0.35">
      <c r="B85" s="64" t="s">
        <v>251</v>
      </c>
      <c r="C85" s="64" t="s">
        <v>197</v>
      </c>
      <c r="D85" s="72">
        <v>47</v>
      </c>
      <c r="E85" s="72">
        <v>33</v>
      </c>
      <c r="F85" s="72">
        <v>22</v>
      </c>
      <c r="G85" s="72">
        <v>17</v>
      </c>
      <c r="L85" s="65">
        <v>78</v>
      </c>
      <c r="M85" s="70">
        <f t="shared" si="2"/>
        <v>3330</v>
      </c>
      <c r="N85" s="74">
        <f t="shared" si="4"/>
        <v>5800</v>
      </c>
    </row>
    <row r="86" spans="2:14" x14ac:dyDescent="0.35">
      <c r="B86" s="64" t="s">
        <v>252</v>
      </c>
      <c r="C86" s="64" t="s">
        <v>197</v>
      </c>
      <c r="D86" s="72">
        <v>47</v>
      </c>
      <c r="E86" s="72">
        <v>33</v>
      </c>
      <c r="F86" s="72">
        <v>22</v>
      </c>
      <c r="G86" s="72">
        <v>17</v>
      </c>
      <c r="L86" s="65">
        <v>79</v>
      </c>
      <c r="M86" s="70">
        <f t="shared" si="2"/>
        <v>3370</v>
      </c>
      <c r="N86" s="74">
        <f t="shared" si="4"/>
        <v>5850</v>
      </c>
    </row>
    <row r="87" spans="2:14" x14ac:dyDescent="0.35">
      <c r="B87" s="64" t="s">
        <v>320</v>
      </c>
      <c r="C87" s="64" t="s">
        <v>197</v>
      </c>
      <c r="D87" s="72">
        <v>47</v>
      </c>
      <c r="E87" s="72">
        <v>33</v>
      </c>
      <c r="F87" s="72">
        <v>22</v>
      </c>
      <c r="G87" s="72">
        <v>17</v>
      </c>
      <c r="L87" s="65">
        <v>80</v>
      </c>
      <c r="M87" s="70">
        <f t="shared" ref="M87:M97" si="5">((L87-$L$21)*40)+770</f>
        <v>3410</v>
      </c>
      <c r="N87" s="74">
        <f t="shared" si="4"/>
        <v>5900</v>
      </c>
    </row>
    <row r="88" spans="2:14" x14ac:dyDescent="0.35">
      <c r="B88" s="64" t="s">
        <v>253</v>
      </c>
      <c r="C88" s="64" t="s">
        <v>197</v>
      </c>
      <c r="D88" s="72">
        <v>108</v>
      </c>
      <c r="E88" s="72">
        <v>80</v>
      </c>
      <c r="F88" s="72">
        <v>57</v>
      </c>
      <c r="G88" s="72">
        <v>45</v>
      </c>
      <c r="L88" s="65">
        <v>81</v>
      </c>
      <c r="M88" s="70">
        <f t="shared" si="5"/>
        <v>3450</v>
      </c>
      <c r="N88" s="74">
        <f t="shared" si="4"/>
        <v>5950</v>
      </c>
    </row>
    <row r="89" spans="2:14" x14ac:dyDescent="0.35">
      <c r="B89" s="64" t="s">
        <v>254</v>
      </c>
      <c r="C89" s="64" t="s">
        <v>197</v>
      </c>
      <c r="D89" s="72">
        <v>47</v>
      </c>
      <c r="E89" s="72">
        <v>33</v>
      </c>
      <c r="F89" s="72">
        <v>22</v>
      </c>
      <c r="G89" s="72">
        <v>17</v>
      </c>
      <c r="L89" s="65">
        <v>82</v>
      </c>
      <c r="M89" s="70">
        <f t="shared" si="5"/>
        <v>3490</v>
      </c>
      <c r="N89" s="74">
        <f t="shared" si="4"/>
        <v>6000</v>
      </c>
    </row>
    <row r="90" spans="2:14" x14ac:dyDescent="0.35">
      <c r="B90" s="64" t="s">
        <v>73</v>
      </c>
      <c r="C90" s="64" t="s">
        <v>197</v>
      </c>
      <c r="D90" s="72">
        <v>77</v>
      </c>
      <c r="E90" s="72">
        <v>57</v>
      </c>
      <c r="F90" s="72">
        <v>40</v>
      </c>
      <c r="G90" s="72">
        <v>32</v>
      </c>
      <c r="L90" s="65">
        <v>83</v>
      </c>
      <c r="M90" s="70">
        <f t="shared" si="5"/>
        <v>3530</v>
      </c>
      <c r="N90" s="74">
        <f t="shared" si="4"/>
        <v>6050</v>
      </c>
    </row>
    <row r="91" spans="2:14" x14ac:dyDescent="0.35">
      <c r="B91" s="64" t="s">
        <v>255</v>
      </c>
      <c r="C91" s="64" t="s">
        <v>197</v>
      </c>
      <c r="D91" s="72">
        <v>47</v>
      </c>
      <c r="E91" s="72">
        <v>33</v>
      </c>
      <c r="F91" s="72">
        <v>22</v>
      </c>
      <c r="G91" s="72">
        <v>17</v>
      </c>
      <c r="L91" s="65">
        <v>84</v>
      </c>
      <c r="M91" s="70">
        <f t="shared" si="5"/>
        <v>3570</v>
      </c>
      <c r="N91" s="74">
        <f t="shared" si="4"/>
        <v>6100</v>
      </c>
    </row>
    <row r="92" spans="2:14" x14ac:dyDescent="0.35">
      <c r="B92" s="64" t="s">
        <v>256</v>
      </c>
      <c r="C92" s="64" t="s">
        <v>197</v>
      </c>
      <c r="D92" s="72">
        <v>108</v>
      </c>
      <c r="E92" s="72">
        <v>80</v>
      </c>
      <c r="F92" s="72">
        <v>57</v>
      </c>
      <c r="G92" s="72">
        <v>45</v>
      </c>
      <c r="L92" s="65">
        <v>85</v>
      </c>
      <c r="M92" s="70">
        <f t="shared" si="5"/>
        <v>3610</v>
      </c>
      <c r="N92" s="74">
        <f t="shared" si="4"/>
        <v>6150</v>
      </c>
    </row>
    <row r="93" spans="2:14" x14ac:dyDescent="0.35">
      <c r="B93" s="64" t="s">
        <v>74</v>
      </c>
      <c r="C93" s="64" t="s">
        <v>197</v>
      </c>
      <c r="D93" s="72">
        <v>77</v>
      </c>
      <c r="E93" s="72">
        <v>57</v>
      </c>
      <c r="F93" s="72">
        <v>40</v>
      </c>
      <c r="G93" s="72">
        <v>32</v>
      </c>
      <c r="L93" s="65">
        <v>86</v>
      </c>
      <c r="M93" s="70">
        <f t="shared" si="5"/>
        <v>3650</v>
      </c>
      <c r="N93" s="74">
        <f t="shared" si="4"/>
        <v>6200</v>
      </c>
    </row>
    <row r="94" spans="2:14" x14ac:dyDescent="0.35">
      <c r="B94" s="64" t="s">
        <v>257</v>
      </c>
      <c r="C94" s="64" t="s">
        <v>197</v>
      </c>
      <c r="D94" s="72">
        <v>47</v>
      </c>
      <c r="E94" s="72">
        <v>33</v>
      </c>
      <c r="F94" s="72">
        <v>22</v>
      </c>
      <c r="G94" s="72">
        <v>17</v>
      </c>
      <c r="L94" s="65">
        <v>87</v>
      </c>
      <c r="M94" s="70">
        <f t="shared" si="5"/>
        <v>3690</v>
      </c>
      <c r="N94" s="74">
        <f t="shared" si="4"/>
        <v>6250</v>
      </c>
    </row>
    <row r="95" spans="2:14" x14ac:dyDescent="0.35">
      <c r="B95" s="64" t="s">
        <v>258</v>
      </c>
      <c r="C95" s="64" t="s">
        <v>197</v>
      </c>
      <c r="D95" s="72">
        <v>77</v>
      </c>
      <c r="E95" s="72">
        <v>57</v>
      </c>
      <c r="F95" s="72">
        <v>40</v>
      </c>
      <c r="G95" s="72">
        <v>32</v>
      </c>
      <c r="L95" s="65">
        <v>88</v>
      </c>
      <c r="M95" s="70">
        <f t="shared" si="5"/>
        <v>3730</v>
      </c>
      <c r="N95" s="74">
        <f t="shared" si="4"/>
        <v>6300</v>
      </c>
    </row>
    <row r="96" spans="2:14" x14ac:dyDescent="0.35">
      <c r="B96" s="64" t="s">
        <v>259</v>
      </c>
      <c r="C96" s="64" t="s">
        <v>197</v>
      </c>
      <c r="D96" s="72">
        <v>47</v>
      </c>
      <c r="E96" s="72">
        <v>33</v>
      </c>
      <c r="F96" s="72">
        <v>22</v>
      </c>
      <c r="G96" s="72">
        <v>17</v>
      </c>
      <c r="L96" s="65">
        <v>89</v>
      </c>
      <c r="M96" s="70">
        <f t="shared" si="5"/>
        <v>3770</v>
      </c>
      <c r="N96" s="74">
        <f t="shared" si="4"/>
        <v>6350</v>
      </c>
    </row>
    <row r="97" spans="2:14" x14ac:dyDescent="0.35">
      <c r="B97" s="64" t="s">
        <v>260</v>
      </c>
      <c r="C97" s="64" t="s">
        <v>197</v>
      </c>
      <c r="D97" s="72">
        <v>77</v>
      </c>
      <c r="E97" s="72">
        <v>57</v>
      </c>
      <c r="F97" s="72">
        <v>40</v>
      </c>
      <c r="G97" s="72">
        <v>32</v>
      </c>
      <c r="L97" s="65">
        <v>90</v>
      </c>
      <c r="M97" s="70">
        <f t="shared" si="5"/>
        <v>3810</v>
      </c>
      <c r="N97" s="74">
        <f t="shared" si="4"/>
        <v>6400</v>
      </c>
    </row>
    <row r="98" spans="2:14" x14ac:dyDescent="0.35">
      <c r="B98" s="64" t="s">
        <v>75</v>
      </c>
      <c r="C98" s="64" t="s">
        <v>197</v>
      </c>
      <c r="D98" s="72">
        <v>47</v>
      </c>
      <c r="E98" s="72">
        <v>33</v>
      </c>
      <c r="F98" s="72">
        <v>22</v>
      </c>
      <c r="G98" s="72">
        <v>17</v>
      </c>
    </row>
    <row r="99" spans="2:14" x14ac:dyDescent="0.35">
      <c r="B99" s="64" t="s">
        <v>76</v>
      </c>
      <c r="C99" s="64" t="s">
        <v>197</v>
      </c>
      <c r="D99" s="72">
        <v>47</v>
      </c>
      <c r="E99" s="72">
        <v>33</v>
      </c>
      <c r="F99" s="72">
        <v>22</v>
      </c>
      <c r="G99" s="72">
        <v>17</v>
      </c>
    </row>
    <row r="100" spans="2:14" x14ac:dyDescent="0.35">
      <c r="B100" s="64" t="s">
        <v>77</v>
      </c>
      <c r="C100" s="64" t="s">
        <v>197</v>
      </c>
      <c r="D100" s="72">
        <v>47</v>
      </c>
      <c r="E100" s="72">
        <v>33</v>
      </c>
      <c r="F100" s="72">
        <v>22</v>
      </c>
      <c r="G100" s="72">
        <v>17</v>
      </c>
    </row>
    <row r="101" spans="2:14" x14ac:dyDescent="0.35">
      <c r="B101" s="64" t="s">
        <v>78</v>
      </c>
      <c r="C101" s="64" t="s">
        <v>197</v>
      </c>
      <c r="D101" s="72">
        <v>77</v>
      </c>
      <c r="E101" s="72">
        <v>57</v>
      </c>
      <c r="F101" s="72">
        <v>40</v>
      </c>
      <c r="G101" s="72">
        <v>32</v>
      </c>
    </row>
    <row r="102" spans="2:14" x14ac:dyDescent="0.35">
      <c r="B102" s="64" t="s">
        <v>79</v>
      </c>
      <c r="C102" s="64" t="s">
        <v>197</v>
      </c>
      <c r="D102" s="72">
        <v>77</v>
      </c>
      <c r="E102" s="72">
        <v>57</v>
      </c>
      <c r="F102" s="72">
        <v>40</v>
      </c>
      <c r="G102" s="72">
        <v>32</v>
      </c>
    </row>
    <row r="103" spans="2:14" x14ac:dyDescent="0.35">
      <c r="B103" s="64" t="s">
        <v>54</v>
      </c>
      <c r="C103" s="64" t="s">
        <v>197</v>
      </c>
      <c r="D103" s="72">
        <v>166</v>
      </c>
      <c r="E103" s="72">
        <v>132</v>
      </c>
      <c r="F103" s="72">
        <v>102</v>
      </c>
      <c r="G103" s="72">
        <v>92</v>
      </c>
    </row>
    <row r="104" spans="2:14" x14ac:dyDescent="0.35">
      <c r="B104" s="64" t="s">
        <v>261</v>
      </c>
      <c r="C104" s="64" t="s">
        <v>197</v>
      </c>
      <c r="D104" s="72">
        <v>108</v>
      </c>
      <c r="E104" s="72">
        <v>80</v>
      </c>
      <c r="F104" s="72">
        <v>57</v>
      </c>
      <c r="G104" s="72">
        <v>45</v>
      </c>
    </row>
    <row r="105" spans="2:14" x14ac:dyDescent="0.35">
      <c r="B105" s="64" t="s">
        <v>262</v>
      </c>
      <c r="C105" s="64" t="s">
        <v>197</v>
      </c>
      <c r="D105" s="72">
        <v>77</v>
      </c>
      <c r="E105" s="72">
        <v>57</v>
      </c>
      <c r="F105" s="72">
        <v>40</v>
      </c>
      <c r="G105" s="72">
        <v>32</v>
      </c>
    </row>
    <row r="106" spans="2:14" x14ac:dyDescent="0.35">
      <c r="B106" s="64" t="s">
        <v>80</v>
      </c>
      <c r="C106" s="64" t="s">
        <v>197</v>
      </c>
      <c r="D106" s="72">
        <v>77</v>
      </c>
      <c r="E106" s="72">
        <v>57</v>
      </c>
      <c r="F106" s="72">
        <v>40</v>
      </c>
      <c r="G106" s="72">
        <v>32</v>
      </c>
    </row>
    <row r="107" spans="2:14" x14ac:dyDescent="0.35">
      <c r="B107" s="64" t="s">
        <v>324</v>
      </c>
      <c r="C107" s="64" t="s">
        <v>197</v>
      </c>
      <c r="D107" s="72">
        <v>77</v>
      </c>
      <c r="E107" s="72">
        <v>57</v>
      </c>
      <c r="F107" s="72">
        <v>40</v>
      </c>
      <c r="G107" s="72">
        <v>32</v>
      </c>
    </row>
    <row r="108" spans="2:14" x14ac:dyDescent="0.35">
      <c r="B108" s="64" t="s">
        <v>263</v>
      </c>
      <c r="C108" s="64" t="s">
        <v>197</v>
      </c>
      <c r="D108" s="72">
        <v>77</v>
      </c>
      <c r="E108" s="72">
        <v>57</v>
      </c>
      <c r="F108" s="72">
        <v>40</v>
      </c>
      <c r="G108" s="72">
        <v>32</v>
      </c>
    </row>
    <row r="109" spans="2:14" x14ac:dyDescent="0.35">
      <c r="B109" s="64" t="s">
        <v>264</v>
      </c>
      <c r="C109" s="64" t="s">
        <v>197</v>
      </c>
      <c r="D109" s="72">
        <v>47</v>
      </c>
      <c r="E109" s="72">
        <v>33</v>
      </c>
      <c r="F109" s="72">
        <v>22</v>
      </c>
      <c r="G109" s="72">
        <v>17</v>
      </c>
    </row>
    <row r="110" spans="2:14" x14ac:dyDescent="0.35">
      <c r="B110" s="64" t="s">
        <v>168</v>
      </c>
      <c r="C110" s="64" t="s">
        <v>197</v>
      </c>
      <c r="D110" s="72">
        <v>108</v>
      </c>
      <c r="E110" s="72">
        <v>80</v>
      </c>
      <c r="F110" s="72">
        <v>57</v>
      </c>
      <c r="G110" s="72">
        <v>45</v>
      </c>
    </row>
    <row r="111" spans="2:14" x14ac:dyDescent="0.35">
      <c r="B111" s="64" t="s">
        <v>81</v>
      </c>
      <c r="C111" s="64" t="s">
        <v>197</v>
      </c>
      <c r="D111" s="72">
        <v>47</v>
      </c>
      <c r="E111" s="72">
        <v>33</v>
      </c>
      <c r="F111" s="72">
        <v>22</v>
      </c>
      <c r="G111" s="72">
        <v>17</v>
      </c>
    </row>
    <row r="112" spans="2:14" x14ac:dyDescent="0.35">
      <c r="B112" s="64" t="s">
        <v>82</v>
      </c>
      <c r="C112" s="64" t="s">
        <v>197</v>
      </c>
      <c r="D112" s="72">
        <v>47</v>
      </c>
      <c r="E112" s="72">
        <v>33</v>
      </c>
      <c r="F112" s="72">
        <v>22</v>
      </c>
      <c r="G112" s="72">
        <v>17</v>
      </c>
    </row>
    <row r="113" spans="2:7" x14ac:dyDescent="0.35">
      <c r="B113" s="64" t="s">
        <v>83</v>
      </c>
      <c r="C113" s="64" t="s">
        <v>197</v>
      </c>
      <c r="D113" s="72">
        <v>108</v>
      </c>
      <c r="E113" s="72">
        <v>80</v>
      </c>
      <c r="F113" s="72">
        <v>57</v>
      </c>
      <c r="G113" s="72">
        <v>45</v>
      </c>
    </row>
    <row r="114" spans="2:7" x14ac:dyDescent="0.35">
      <c r="B114" s="64" t="s">
        <v>265</v>
      </c>
      <c r="C114" s="64" t="s">
        <v>197</v>
      </c>
      <c r="D114" s="72">
        <v>47</v>
      </c>
      <c r="E114" s="72">
        <v>33</v>
      </c>
      <c r="F114" s="72">
        <v>22</v>
      </c>
      <c r="G114" s="72">
        <v>17</v>
      </c>
    </row>
    <row r="115" spans="2:7" x14ac:dyDescent="0.35">
      <c r="B115" s="64" t="s">
        <v>266</v>
      </c>
      <c r="C115" s="64" t="s">
        <v>197</v>
      </c>
      <c r="D115" s="72">
        <v>47</v>
      </c>
      <c r="E115" s="72">
        <v>33</v>
      </c>
      <c r="F115" s="72">
        <v>22</v>
      </c>
      <c r="G115" s="72">
        <v>17</v>
      </c>
    </row>
    <row r="116" spans="2:7" x14ac:dyDescent="0.35">
      <c r="B116" s="64" t="s">
        <v>84</v>
      </c>
      <c r="C116" s="64" t="s">
        <v>197</v>
      </c>
      <c r="D116" s="72">
        <v>108</v>
      </c>
      <c r="E116" s="72">
        <v>80</v>
      </c>
      <c r="F116" s="72">
        <v>57</v>
      </c>
      <c r="G116" s="72">
        <v>45</v>
      </c>
    </row>
    <row r="117" spans="2:7" x14ac:dyDescent="0.35">
      <c r="B117" s="64" t="s">
        <v>267</v>
      </c>
      <c r="C117" s="64" t="s">
        <v>197</v>
      </c>
      <c r="D117" s="72">
        <v>47</v>
      </c>
      <c r="E117" s="72">
        <v>33</v>
      </c>
      <c r="F117" s="72">
        <v>22</v>
      </c>
      <c r="G117" s="72">
        <v>17</v>
      </c>
    </row>
    <row r="118" spans="2:7" x14ac:dyDescent="0.35">
      <c r="B118" s="64" t="s">
        <v>268</v>
      </c>
      <c r="C118" s="64" t="s">
        <v>197</v>
      </c>
      <c r="D118" s="72">
        <v>47</v>
      </c>
      <c r="E118" s="72">
        <v>33</v>
      </c>
      <c r="F118" s="72">
        <v>22</v>
      </c>
      <c r="G118" s="72">
        <v>17</v>
      </c>
    </row>
    <row r="119" spans="2:7" x14ac:dyDescent="0.35">
      <c r="B119" s="64" t="s">
        <v>85</v>
      </c>
      <c r="C119" s="64" t="s">
        <v>197</v>
      </c>
      <c r="D119" s="72">
        <v>47</v>
      </c>
      <c r="E119" s="72">
        <v>33</v>
      </c>
      <c r="F119" s="72">
        <v>22</v>
      </c>
      <c r="G119" s="72">
        <v>17</v>
      </c>
    </row>
    <row r="120" spans="2:7" x14ac:dyDescent="0.35">
      <c r="B120" s="64" t="s">
        <v>86</v>
      </c>
      <c r="C120" s="64" t="s">
        <v>197</v>
      </c>
      <c r="D120" s="72">
        <v>47</v>
      </c>
      <c r="E120" s="72">
        <v>33</v>
      </c>
      <c r="F120" s="72">
        <v>22</v>
      </c>
      <c r="G120" s="72">
        <v>17</v>
      </c>
    </row>
    <row r="121" spans="2:7" x14ac:dyDescent="0.35">
      <c r="B121" s="64" t="s">
        <v>269</v>
      </c>
      <c r="C121" s="64" t="s">
        <v>197</v>
      </c>
      <c r="D121" s="72">
        <v>47</v>
      </c>
      <c r="E121" s="72">
        <v>33</v>
      </c>
      <c r="F121" s="72">
        <v>22</v>
      </c>
      <c r="G121" s="72">
        <v>17</v>
      </c>
    </row>
    <row r="122" spans="2:7" x14ac:dyDescent="0.35">
      <c r="B122" s="64" t="s">
        <v>270</v>
      </c>
      <c r="C122" s="64" t="s">
        <v>197</v>
      </c>
      <c r="D122" s="72">
        <v>47</v>
      </c>
      <c r="E122" s="72">
        <v>33</v>
      </c>
      <c r="F122" s="72">
        <v>22</v>
      </c>
      <c r="G122" s="72">
        <v>17</v>
      </c>
    </row>
    <row r="123" spans="2:7" x14ac:dyDescent="0.35">
      <c r="B123" s="64" t="s">
        <v>271</v>
      </c>
      <c r="C123" s="64" t="s">
        <v>197</v>
      </c>
      <c r="D123" s="72">
        <v>47</v>
      </c>
      <c r="E123" s="72">
        <v>33</v>
      </c>
      <c r="F123" s="72">
        <v>22</v>
      </c>
      <c r="G123" s="72">
        <v>17</v>
      </c>
    </row>
    <row r="124" spans="2:7" x14ac:dyDescent="0.35">
      <c r="B124" s="64" t="s">
        <v>272</v>
      </c>
      <c r="C124" s="64" t="s">
        <v>197</v>
      </c>
      <c r="D124" s="72">
        <v>47</v>
      </c>
      <c r="E124" s="72">
        <v>33</v>
      </c>
      <c r="F124" s="72">
        <v>22</v>
      </c>
      <c r="G124" s="72">
        <v>17</v>
      </c>
    </row>
    <row r="125" spans="2:7" x14ac:dyDescent="0.35">
      <c r="B125" s="64" t="s">
        <v>87</v>
      </c>
      <c r="C125" s="64" t="s">
        <v>197</v>
      </c>
      <c r="D125" s="72">
        <v>108</v>
      </c>
      <c r="E125" s="72">
        <v>80</v>
      </c>
      <c r="F125" s="72">
        <v>57</v>
      </c>
      <c r="G125" s="72">
        <v>45</v>
      </c>
    </row>
    <row r="126" spans="2:7" x14ac:dyDescent="0.35">
      <c r="B126" s="64" t="s">
        <v>326</v>
      </c>
      <c r="C126" s="64" t="s">
        <v>197</v>
      </c>
      <c r="D126" s="72">
        <v>77</v>
      </c>
      <c r="E126" s="72">
        <v>57</v>
      </c>
      <c r="F126" s="72">
        <v>40</v>
      </c>
      <c r="G126" s="72">
        <v>32</v>
      </c>
    </row>
    <row r="127" spans="2:7" x14ac:dyDescent="0.35">
      <c r="B127" s="64" t="s">
        <v>88</v>
      </c>
      <c r="C127" s="64" t="s">
        <v>197</v>
      </c>
      <c r="D127" s="72">
        <v>47</v>
      </c>
      <c r="E127" s="72">
        <v>33</v>
      </c>
      <c r="F127" s="72">
        <v>22</v>
      </c>
      <c r="G127" s="72">
        <v>17</v>
      </c>
    </row>
    <row r="128" spans="2:7" x14ac:dyDescent="0.35">
      <c r="B128" s="64" t="s">
        <v>89</v>
      </c>
      <c r="C128" s="64" t="s">
        <v>197</v>
      </c>
      <c r="D128" s="72">
        <v>47</v>
      </c>
      <c r="E128" s="72">
        <v>33</v>
      </c>
      <c r="F128" s="72">
        <v>22</v>
      </c>
      <c r="G128" s="72">
        <v>17</v>
      </c>
    </row>
    <row r="129" spans="2:7" x14ac:dyDescent="0.35">
      <c r="B129" s="64" t="s">
        <v>90</v>
      </c>
      <c r="C129" s="64" t="s">
        <v>197</v>
      </c>
      <c r="D129" s="72">
        <v>108</v>
      </c>
      <c r="E129" s="72">
        <v>80</v>
      </c>
      <c r="F129" s="72">
        <v>57</v>
      </c>
      <c r="G129" s="72">
        <v>45</v>
      </c>
    </row>
    <row r="130" spans="2:7" x14ac:dyDescent="0.35">
      <c r="B130" s="64" t="s">
        <v>91</v>
      </c>
      <c r="C130" s="64" t="s">
        <v>197</v>
      </c>
      <c r="D130" s="72">
        <v>77</v>
      </c>
      <c r="E130" s="72">
        <v>57</v>
      </c>
      <c r="F130" s="72">
        <v>40</v>
      </c>
      <c r="G130" s="72">
        <v>32</v>
      </c>
    </row>
    <row r="131" spans="2:7" x14ac:dyDescent="0.35">
      <c r="B131" s="64" t="s">
        <v>273</v>
      </c>
      <c r="C131" s="64" t="s">
        <v>197</v>
      </c>
      <c r="D131" s="72">
        <v>77</v>
      </c>
      <c r="E131" s="72">
        <v>57</v>
      </c>
      <c r="F131" s="72">
        <v>40</v>
      </c>
      <c r="G131" s="72">
        <v>32</v>
      </c>
    </row>
    <row r="132" spans="2:7" x14ac:dyDescent="0.35">
      <c r="B132" s="64" t="s">
        <v>274</v>
      </c>
      <c r="C132" s="64" t="s">
        <v>197</v>
      </c>
      <c r="D132" s="72">
        <v>47</v>
      </c>
      <c r="E132" s="72">
        <v>33</v>
      </c>
      <c r="F132" s="72">
        <v>22</v>
      </c>
      <c r="G132" s="72">
        <v>17</v>
      </c>
    </row>
    <row r="133" spans="2:7" x14ac:dyDescent="0.35">
      <c r="B133" s="64" t="s">
        <v>275</v>
      </c>
      <c r="C133" s="64" t="s">
        <v>197</v>
      </c>
      <c r="D133" s="72">
        <v>77</v>
      </c>
      <c r="E133" s="72">
        <v>57</v>
      </c>
      <c r="F133" s="72">
        <v>40</v>
      </c>
      <c r="G133" s="72">
        <v>32</v>
      </c>
    </row>
    <row r="134" spans="2:7" x14ac:dyDescent="0.35">
      <c r="B134" s="64" t="s">
        <v>276</v>
      </c>
      <c r="C134" s="64" t="s">
        <v>197</v>
      </c>
      <c r="D134" s="72">
        <v>47</v>
      </c>
      <c r="E134" s="72">
        <v>33</v>
      </c>
      <c r="F134" s="72">
        <v>22</v>
      </c>
      <c r="G134" s="72">
        <v>17</v>
      </c>
    </row>
    <row r="135" spans="2:7" x14ac:dyDescent="0.35">
      <c r="B135" s="64" t="s">
        <v>92</v>
      </c>
      <c r="C135" s="64" t="s">
        <v>197</v>
      </c>
      <c r="D135" s="72">
        <v>47</v>
      </c>
      <c r="E135" s="72">
        <v>33</v>
      </c>
      <c r="F135" s="72">
        <v>22</v>
      </c>
      <c r="G135" s="72">
        <v>17</v>
      </c>
    </row>
    <row r="136" spans="2:7" x14ac:dyDescent="0.35">
      <c r="B136" s="64" t="s">
        <v>93</v>
      </c>
      <c r="C136" s="64" t="s">
        <v>197</v>
      </c>
      <c r="D136" s="72">
        <v>47</v>
      </c>
      <c r="E136" s="72">
        <v>33</v>
      </c>
      <c r="F136" s="72">
        <v>22</v>
      </c>
      <c r="G136" s="72">
        <v>17</v>
      </c>
    </row>
    <row r="137" spans="2:7" x14ac:dyDescent="0.35">
      <c r="B137" s="64" t="s">
        <v>277</v>
      </c>
      <c r="C137" s="64" t="s">
        <v>197</v>
      </c>
      <c r="D137" s="72">
        <v>47</v>
      </c>
      <c r="E137" s="72">
        <v>33</v>
      </c>
      <c r="F137" s="72">
        <v>22</v>
      </c>
      <c r="G137" s="72">
        <v>17</v>
      </c>
    </row>
    <row r="138" spans="2:7" x14ac:dyDescent="0.35">
      <c r="B138" s="64" t="s">
        <v>278</v>
      </c>
      <c r="C138" s="64" t="s">
        <v>197</v>
      </c>
      <c r="D138" s="72">
        <v>108</v>
      </c>
      <c r="E138" s="72">
        <v>80</v>
      </c>
      <c r="F138" s="72">
        <v>57</v>
      </c>
      <c r="G138" s="72">
        <v>45</v>
      </c>
    </row>
    <row r="139" spans="2:7" x14ac:dyDescent="0.35">
      <c r="B139" s="64" t="s">
        <v>279</v>
      </c>
      <c r="C139" s="64" t="s">
        <v>197</v>
      </c>
      <c r="D139" s="72">
        <v>47</v>
      </c>
      <c r="E139" s="72">
        <v>33</v>
      </c>
      <c r="F139" s="72">
        <v>22</v>
      </c>
      <c r="G139" s="72">
        <v>17</v>
      </c>
    </row>
    <row r="140" spans="2:7" x14ac:dyDescent="0.35">
      <c r="B140" s="64" t="s">
        <v>94</v>
      </c>
      <c r="C140" s="64" t="s">
        <v>197</v>
      </c>
      <c r="D140" s="72">
        <v>47</v>
      </c>
      <c r="E140" s="72">
        <v>33</v>
      </c>
      <c r="F140" s="72">
        <v>22</v>
      </c>
      <c r="G140" s="72">
        <v>17</v>
      </c>
    </row>
    <row r="141" spans="2:7" x14ac:dyDescent="0.35">
      <c r="B141" s="64" t="s">
        <v>280</v>
      </c>
      <c r="C141" s="64" t="s">
        <v>197</v>
      </c>
      <c r="D141" s="72">
        <v>47</v>
      </c>
      <c r="E141" s="72">
        <v>33</v>
      </c>
      <c r="F141" s="72">
        <v>22</v>
      </c>
      <c r="G141" s="72">
        <v>17</v>
      </c>
    </row>
    <row r="142" spans="2:7" x14ac:dyDescent="0.35">
      <c r="B142" s="64" t="s">
        <v>167</v>
      </c>
      <c r="C142" s="64" t="s">
        <v>197</v>
      </c>
      <c r="D142" s="72">
        <v>77</v>
      </c>
      <c r="E142" s="72">
        <v>57</v>
      </c>
      <c r="F142" s="72">
        <v>40</v>
      </c>
      <c r="G142" s="72">
        <v>32</v>
      </c>
    </row>
    <row r="143" spans="2:7" x14ac:dyDescent="0.35">
      <c r="B143" s="64" t="s">
        <v>95</v>
      </c>
      <c r="C143" s="64" t="s">
        <v>197</v>
      </c>
      <c r="D143" s="72">
        <v>77</v>
      </c>
      <c r="E143" s="72">
        <v>57</v>
      </c>
      <c r="F143" s="72">
        <v>40</v>
      </c>
      <c r="G143" s="72">
        <v>32</v>
      </c>
    </row>
    <row r="144" spans="2:7" x14ac:dyDescent="0.35">
      <c r="B144" s="64" t="s">
        <v>281</v>
      </c>
      <c r="C144" s="64" t="s">
        <v>197</v>
      </c>
      <c r="D144" s="72">
        <v>77</v>
      </c>
      <c r="E144" s="72">
        <v>57</v>
      </c>
      <c r="F144" s="72">
        <v>40</v>
      </c>
      <c r="G144" s="72">
        <v>32</v>
      </c>
    </row>
    <row r="145" spans="2:7" x14ac:dyDescent="0.35">
      <c r="B145" s="64" t="s">
        <v>96</v>
      </c>
      <c r="C145" s="64" t="s">
        <v>197</v>
      </c>
      <c r="D145" s="72">
        <v>77</v>
      </c>
      <c r="E145" s="72">
        <v>57</v>
      </c>
      <c r="F145" s="72">
        <v>40</v>
      </c>
      <c r="G145" s="72">
        <v>32</v>
      </c>
    </row>
    <row r="146" spans="2:7" x14ac:dyDescent="0.35">
      <c r="B146" s="64" t="s">
        <v>135</v>
      </c>
      <c r="C146" s="64" t="s">
        <v>197</v>
      </c>
      <c r="D146" s="72">
        <v>108</v>
      </c>
      <c r="E146" s="72">
        <v>80</v>
      </c>
      <c r="F146" s="72">
        <v>57</v>
      </c>
      <c r="G146" s="72">
        <v>45</v>
      </c>
    </row>
    <row r="147" spans="2:7" x14ac:dyDescent="0.35">
      <c r="B147" s="64" t="s">
        <v>97</v>
      </c>
      <c r="C147" s="64" t="s">
        <v>197</v>
      </c>
      <c r="D147" s="72">
        <v>47</v>
      </c>
      <c r="E147" s="72">
        <v>33</v>
      </c>
      <c r="F147" s="72">
        <v>22</v>
      </c>
      <c r="G147" s="72">
        <v>17</v>
      </c>
    </row>
    <row r="148" spans="2:7" x14ac:dyDescent="0.35">
      <c r="B148" s="64" t="s">
        <v>181</v>
      </c>
      <c r="C148" s="64" t="s">
        <v>197</v>
      </c>
      <c r="D148" s="72">
        <v>77</v>
      </c>
      <c r="E148" s="72">
        <v>57</v>
      </c>
      <c r="F148" s="72">
        <v>40</v>
      </c>
      <c r="G148" s="72">
        <v>32</v>
      </c>
    </row>
    <row r="149" spans="2:7" x14ac:dyDescent="0.35">
      <c r="B149" s="64" t="s">
        <v>282</v>
      </c>
      <c r="C149" s="64" t="s">
        <v>197</v>
      </c>
      <c r="D149" s="72">
        <v>47</v>
      </c>
      <c r="E149" s="72">
        <v>33</v>
      </c>
      <c r="F149" s="72">
        <v>22</v>
      </c>
      <c r="G149" s="72">
        <v>17</v>
      </c>
    </row>
    <row r="150" spans="2:7" x14ac:dyDescent="0.35">
      <c r="B150" s="64" t="s">
        <v>283</v>
      </c>
      <c r="C150" s="64" t="s">
        <v>197</v>
      </c>
      <c r="D150" s="72">
        <v>108</v>
      </c>
      <c r="E150" s="72">
        <v>80</v>
      </c>
      <c r="F150" s="72">
        <v>57</v>
      </c>
      <c r="G150" s="72">
        <v>45</v>
      </c>
    </row>
    <row r="151" spans="2:7" x14ac:dyDescent="0.35">
      <c r="B151" s="64" t="s">
        <v>317</v>
      </c>
      <c r="C151" s="64" t="s">
        <v>197</v>
      </c>
      <c r="D151" s="72">
        <v>108</v>
      </c>
      <c r="E151" s="72">
        <v>80</v>
      </c>
      <c r="F151" s="72">
        <v>57</v>
      </c>
      <c r="G151" s="72">
        <v>45</v>
      </c>
    </row>
    <row r="152" spans="2:7" x14ac:dyDescent="0.35">
      <c r="B152" s="64" t="s">
        <v>284</v>
      </c>
      <c r="C152" s="64" t="s">
        <v>197</v>
      </c>
      <c r="D152" s="72">
        <v>108</v>
      </c>
      <c r="E152" s="72">
        <v>80</v>
      </c>
      <c r="F152" s="72">
        <v>57</v>
      </c>
      <c r="G152" s="72">
        <v>45</v>
      </c>
    </row>
    <row r="153" spans="2:7" x14ac:dyDescent="0.35">
      <c r="B153" s="64" t="s">
        <v>285</v>
      </c>
      <c r="C153" s="64" t="s">
        <v>197</v>
      </c>
      <c r="D153" s="72">
        <v>47</v>
      </c>
      <c r="E153" s="72">
        <v>33</v>
      </c>
      <c r="F153" s="72">
        <v>22</v>
      </c>
      <c r="G153" s="72">
        <v>17</v>
      </c>
    </row>
    <row r="154" spans="2:7" x14ac:dyDescent="0.35">
      <c r="B154" s="64" t="s">
        <v>286</v>
      </c>
      <c r="C154" s="64" t="s">
        <v>197</v>
      </c>
      <c r="D154" s="72">
        <v>108</v>
      </c>
      <c r="E154" s="72">
        <v>80</v>
      </c>
      <c r="F154" s="72">
        <v>57</v>
      </c>
      <c r="G154" s="72">
        <v>45</v>
      </c>
    </row>
    <row r="155" spans="2:7" x14ac:dyDescent="0.35">
      <c r="B155" s="64" t="s">
        <v>287</v>
      </c>
      <c r="C155" s="64" t="s">
        <v>197</v>
      </c>
      <c r="D155" s="72">
        <v>77</v>
      </c>
      <c r="E155" s="72">
        <v>57</v>
      </c>
      <c r="F155" s="72">
        <v>40</v>
      </c>
      <c r="G155" s="72">
        <v>32</v>
      </c>
    </row>
    <row r="156" spans="2:7" x14ac:dyDescent="0.35">
      <c r="B156" s="64" t="s">
        <v>288</v>
      </c>
      <c r="C156" s="64" t="s">
        <v>197</v>
      </c>
      <c r="D156" s="72">
        <v>108</v>
      </c>
      <c r="E156" s="72">
        <v>80</v>
      </c>
      <c r="F156" s="72">
        <v>57</v>
      </c>
      <c r="G156" s="72">
        <v>45</v>
      </c>
    </row>
    <row r="157" spans="2:7" x14ac:dyDescent="0.35">
      <c r="B157" s="64" t="s">
        <v>289</v>
      </c>
      <c r="C157" s="64" t="s">
        <v>197</v>
      </c>
      <c r="D157" s="72">
        <v>47</v>
      </c>
      <c r="E157" s="72">
        <v>33</v>
      </c>
      <c r="F157" s="72">
        <v>22</v>
      </c>
      <c r="G157" s="72">
        <v>17</v>
      </c>
    </row>
    <row r="158" spans="2:7" x14ac:dyDescent="0.35">
      <c r="B158" s="64" t="s">
        <v>322</v>
      </c>
      <c r="C158" s="64" t="s">
        <v>197</v>
      </c>
      <c r="D158" s="72">
        <v>47</v>
      </c>
      <c r="E158" s="72">
        <v>33</v>
      </c>
      <c r="F158" s="72">
        <v>22</v>
      </c>
      <c r="G158" s="72">
        <v>17</v>
      </c>
    </row>
    <row r="159" spans="2:7" x14ac:dyDescent="0.35">
      <c r="B159" s="64" t="s">
        <v>290</v>
      </c>
      <c r="C159" s="64" t="s">
        <v>197</v>
      </c>
      <c r="D159" s="72">
        <v>47</v>
      </c>
      <c r="E159" s="72">
        <v>33</v>
      </c>
      <c r="F159" s="72">
        <v>22</v>
      </c>
      <c r="G159" s="72">
        <v>17</v>
      </c>
    </row>
    <row r="160" spans="2:7" x14ac:dyDescent="0.35">
      <c r="B160" s="64" t="s">
        <v>99</v>
      </c>
      <c r="C160" s="64" t="s">
        <v>197</v>
      </c>
      <c r="D160" s="72">
        <v>77</v>
      </c>
      <c r="E160" s="72">
        <v>57</v>
      </c>
      <c r="F160" s="72">
        <v>40</v>
      </c>
      <c r="G160" s="72">
        <v>32</v>
      </c>
    </row>
    <row r="161" spans="2:7" x14ac:dyDescent="0.35">
      <c r="B161" s="64" t="s">
        <v>291</v>
      </c>
      <c r="C161" s="64" t="s">
        <v>197</v>
      </c>
      <c r="D161" s="72">
        <v>47</v>
      </c>
      <c r="E161" s="72">
        <v>33</v>
      </c>
      <c r="F161" s="72">
        <v>22</v>
      </c>
      <c r="G161" s="72">
        <v>17</v>
      </c>
    </row>
    <row r="162" spans="2:7" x14ac:dyDescent="0.35">
      <c r="B162" s="64" t="s">
        <v>309</v>
      </c>
      <c r="C162" s="64" t="s">
        <v>197</v>
      </c>
      <c r="D162" s="72">
        <v>47</v>
      </c>
      <c r="E162" s="72">
        <v>33</v>
      </c>
      <c r="F162" s="72">
        <v>22</v>
      </c>
      <c r="G162" s="72">
        <v>17</v>
      </c>
    </row>
    <row r="163" spans="2:7" x14ac:dyDescent="0.35">
      <c r="B163" s="64" t="s">
        <v>292</v>
      </c>
      <c r="C163" s="64" t="s">
        <v>197</v>
      </c>
      <c r="D163" s="72">
        <v>47</v>
      </c>
      <c r="E163" s="72">
        <v>33</v>
      </c>
      <c r="F163" s="72">
        <v>22</v>
      </c>
      <c r="G163" s="72">
        <v>17</v>
      </c>
    </row>
    <row r="164" spans="2:7" x14ac:dyDescent="0.35">
      <c r="B164" s="64" t="s">
        <v>323</v>
      </c>
      <c r="C164" s="64" t="s">
        <v>197</v>
      </c>
      <c r="D164" s="72">
        <v>77</v>
      </c>
      <c r="E164" s="72">
        <v>57</v>
      </c>
      <c r="F164" s="72">
        <v>40</v>
      </c>
      <c r="G164" s="72">
        <v>32</v>
      </c>
    </row>
    <row r="165" spans="2:7" x14ac:dyDescent="0.35">
      <c r="B165" s="64" t="s">
        <v>353</v>
      </c>
      <c r="C165" s="64" t="s">
        <v>197</v>
      </c>
      <c r="D165" s="72">
        <v>77</v>
      </c>
      <c r="E165" s="72">
        <v>57</v>
      </c>
      <c r="F165" s="72">
        <v>40</v>
      </c>
      <c r="G165" s="72">
        <v>32</v>
      </c>
    </row>
    <row r="166" spans="2:7" x14ac:dyDescent="0.35">
      <c r="B166" s="64" t="s">
        <v>100</v>
      </c>
      <c r="C166" s="64" t="s">
        <v>197</v>
      </c>
      <c r="D166" s="72">
        <v>47</v>
      </c>
      <c r="E166" s="72">
        <v>33</v>
      </c>
      <c r="F166" s="72">
        <v>22</v>
      </c>
      <c r="G166" s="72">
        <v>17</v>
      </c>
    </row>
    <row r="167" spans="2:7" x14ac:dyDescent="0.35">
      <c r="B167" s="64" t="s">
        <v>101</v>
      </c>
      <c r="C167" s="64" t="s">
        <v>197</v>
      </c>
      <c r="D167" s="72">
        <v>47</v>
      </c>
      <c r="E167" s="72">
        <v>33</v>
      </c>
      <c r="F167" s="72">
        <v>22</v>
      </c>
      <c r="G167" s="72">
        <v>17</v>
      </c>
    </row>
    <row r="168" spans="2:7" x14ac:dyDescent="0.35">
      <c r="B168" s="64" t="s">
        <v>293</v>
      </c>
      <c r="C168" s="64" t="s">
        <v>197</v>
      </c>
      <c r="D168" s="72">
        <v>47</v>
      </c>
      <c r="E168" s="72">
        <v>33</v>
      </c>
      <c r="F168" s="72">
        <v>22</v>
      </c>
      <c r="G168" s="72">
        <v>17</v>
      </c>
    </row>
    <row r="169" spans="2:7" x14ac:dyDescent="0.35">
      <c r="B169" s="64" t="s">
        <v>102</v>
      </c>
      <c r="C169" s="64" t="s">
        <v>197</v>
      </c>
      <c r="D169" s="72">
        <v>108</v>
      </c>
      <c r="E169" s="72">
        <v>80</v>
      </c>
      <c r="F169" s="72">
        <v>57</v>
      </c>
      <c r="G169" s="72">
        <v>45</v>
      </c>
    </row>
    <row r="170" spans="2:7" x14ac:dyDescent="0.35">
      <c r="B170" s="64" t="s">
        <v>327</v>
      </c>
      <c r="C170" s="64" t="s">
        <v>197</v>
      </c>
      <c r="D170" s="72">
        <v>47</v>
      </c>
      <c r="E170" s="72">
        <v>33</v>
      </c>
      <c r="F170" s="72">
        <v>22</v>
      </c>
      <c r="G170" s="72">
        <v>17</v>
      </c>
    </row>
    <row r="171" spans="2:7" x14ac:dyDescent="0.35">
      <c r="B171" s="64" t="s">
        <v>294</v>
      </c>
      <c r="C171" s="64" t="s">
        <v>197</v>
      </c>
      <c r="D171" s="72">
        <v>47</v>
      </c>
      <c r="E171" s="72">
        <v>33</v>
      </c>
      <c r="F171" s="72">
        <v>22</v>
      </c>
      <c r="G171" s="72">
        <v>17</v>
      </c>
    </row>
    <row r="172" spans="2:7" x14ac:dyDescent="0.35">
      <c r="B172" s="64" t="s">
        <v>295</v>
      </c>
      <c r="C172" s="64" t="s">
        <v>197</v>
      </c>
      <c r="D172" s="72">
        <v>47</v>
      </c>
      <c r="E172" s="72">
        <v>33</v>
      </c>
      <c r="F172" s="72">
        <v>22</v>
      </c>
      <c r="G172" s="72">
        <v>17</v>
      </c>
    </row>
    <row r="173" spans="2:7" x14ac:dyDescent="0.35">
      <c r="B173" s="64" t="s">
        <v>296</v>
      </c>
      <c r="C173" s="64" t="s">
        <v>197</v>
      </c>
      <c r="D173" s="72">
        <v>77</v>
      </c>
      <c r="E173" s="72">
        <v>57</v>
      </c>
      <c r="F173" s="72">
        <v>40</v>
      </c>
      <c r="G173" s="72">
        <v>32</v>
      </c>
    </row>
    <row r="174" spans="2:7" x14ac:dyDescent="0.35">
      <c r="B174" s="64" t="s">
        <v>103</v>
      </c>
      <c r="C174" s="64" t="s">
        <v>197</v>
      </c>
      <c r="D174" s="72">
        <v>47</v>
      </c>
      <c r="E174" s="72">
        <v>33</v>
      </c>
      <c r="F174" s="72">
        <v>22</v>
      </c>
      <c r="G174" s="72">
        <v>17</v>
      </c>
    </row>
    <row r="175" spans="2:7" x14ac:dyDescent="0.35">
      <c r="B175" s="64" t="s">
        <v>104</v>
      </c>
      <c r="C175" s="64" t="s">
        <v>197</v>
      </c>
      <c r="D175" s="72">
        <v>47</v>
      </c>
      <c r="E175" s="72">
        <v>33</v>
      </c>
      <c r="F175" s="72">
        <v>22</v>
      </c>
      <c r="G175" s="72">
        <v>17</v>
      </c>
    </row>
    <row r="176" spans="2:7" x14ac:dyDescent="0.35">
      <c r="B176" s="64" t="s">
        <v>297</v>
      </c>
      <c r="C176" s="64" t="s">
        <v>197</v>
      </c>
      <c r="D176" s="72">
        <v>47</v>
      </c>
      <c r="E176" s="72">
        <v>33</v>
      </c>
      <c r="F176" s="72">
        <v>22</v>
      </c>
      <c r="G176" s="72">
        <v>17</v>
      </c>
    </row>
    <row r="177" spans="2:7" x14ac:dyDescent="0.35">
      <c r="B177" s="64" t="s">
        <v>298</v>
      </c>
      <c r="C177" s="64" t="s">
        <v>197</v>
      </c>
      <c r="D177" s="72">
        <v>47</v>
      </c>
      <c r="E177" s="72">
        <v>33</v>
      </c>
      <c r="F177" s="72">
        <v>22</v>
      </c>
      <c r="G177" s="72">
        <v>17</v>
      </c>
    </row>
    <row r="178" spans="2:7" x14ac:dyDescent="0.35">
      <c r="B178" s="64" t="s">
        <v>180</v>
      </c>
      <c r="C178" s="64" t="s">
        <v>197</v>
      </c>
      <c r="D178" s="72">
        <v>108</v>
      </c>
      <c r="E178" s="72">
        <v>80</v>
      </c>
      <c r="F178" s="72">
        <v>57</v>
      </c>
      <c r="G178" s="72">
        <v>45</v>
      </c>
    </row>
    <row r="179" spans="2:7" x14ac:dyDescent="0.35">
      <c r="B179" s="64" t="s">
        <v>350</v>
      </c>
      <c r="C179" s="64" t="s">
        <v>197</v>
      </c>
      <c r="D179" s="72">
        <v>108</v>
      </c>
      <c r="E179" s="72">
        <v>80</v>
      </c>
      <c r="F179" s="72">
        <v>57</v>
      </c>
      <c r="G179" s="72">
        <v>45</v>
      </c>
    </row>
    <row r="180" spans="2:7" x14ac:dyDescent="0.35">
      <c r="B180" s="64" t="s">
        <v>105</v>
      </c>
      <c r="C180" s="64" t="s">
        <v>197</v>
      </c>
      <c r="D180" s="72">
        <v>47</v>
      </c>
      <c r="E180" s="72">
        <v>33</v>
      </c>
      <c r="F180" s="72">
        <v>22</v>
      </c>
      <c r="G180" s="72">
        <v>17</v>
      </c>
    </row>
    <row r="181" spans="2:7" x14ac:dyDescent="0.35">
      <c r="B181" s="64" t="s">
        <v>299</v>
      </c>
      <c r="C181" s="64" t="s">
        <v>197</v>
      </c>
      <c r="D181" s="72">
        <v>77</v>
      </c>
      <c r="E181" s="72">
        <v>57</v>
      </c>
      <c r="F181" s="72">
        <v>40</v>
      </c>
      <c r="G181" s="72">
        <v>32</v>
      </c>
    </row>
    <row r="182" spans="2:7" x14ac:dyDescent="0.35">
      <c r="B182" s="64" t="s">
        <v>106</v>
      </c>
      <c r="C182" s="64" t="s">
        <v>197</v>
      </c>
      <c r="D182" s="72">
        <v>108</v>
      </c>
      <c r="E182" s="72">
        <v>80</v>
      </c>
      <c r="F182" s="72">
        <v>57</v>
      </c>
      <c r="G182" s="72">
        <v>45</v>
      </c>
    </row>
    <row r="183" spans="2:7" x14ac:dyDescent="0.35">
      <c r="B183" s="64" t="s">
        <v>107</v>
      </c>
      <c r="C183" s="64" t="s">
        <v>197</v>
      </c>
      <c r="D183" s="72">
        <v>47</v>
      </c>
      <c r="E183" s="72">
        <v>33</v>
      </c>
      <c r="F183" s="72">
        <v>22</v>
      </c>
      <c r="G183" s="72">
        <v>17</v>
      </c>
    </row>
    <row r="184" spans="2:7" x14ac:dyDescent="0.35">
      <c r="B184" s="64" t="s">
        <v>108</v>
      </c>
      <c r="C184" s="64" t="s">
        <v>197</v>
      </c>
      <c r="D184" s="72">
        <v>47</v>
      </c>
      <c r="E184" s="72">
        <v>33</v>
      </c>
      <c r="F184" s="72">
        <v>22</v>
      </c>
      <c r="G184" s="72">
        <v>17</v>
      </c>
    </row>
    <row r="185" spans="2:7" x14ac:dyDescent="0.35">
      <c r="B185" s="64" t="s">
        <v>300</v>
      </c>
      <c r="C185" s="64" t="s">
        <v>197</v>
      </c>
      <c r="D185" s="72">
        <v>108</v>
      </c>
      <c r="E185" s="72">
        <v>80</v>
      </c>
      <c r="F185" s="72">
        <v>57</v>
      </c>
      <c r="G185" s="72">
        <v>45</v>
      </c>
    </row>
    <row r="186" spans="2:7" x14ac:dyDescent="0.35">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2023-09-06T20:41:51Z</dcterms:modified>
</cp:coreProperties>
</file>